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ntoi\Documents\VSC Carte Jardin Strasbourg\data\stats_jardin_globale\"/>
    </mc:Choice>
  </mc:AlternateContent>
  <xr:revisionPtr revIDLastSave="0" documentId="13_ncr:1_{FBF76CF4-DAFE-4E4A-92EF-427AB58DF374}" xr6:coauthVersionLast="47" xr6:coauthVersionMax="47" xr10:uidLastSave="{00000000-0000-0000-0000-000000000000}"/>
  <bookViews>
    <workbookView xWindow="28680" yWindow="-120" windowWidth="38640" windowHeight="21120" activeTab="7" xr2:uid="{00000000-000D-0000-FFFF-FFFF00000000}"/>
  </bookViews>
  <sheets>
    <sheet name="JARDINS FAMILIAUX" sheetId="1" r:id="rId1"/>
    <sheet name="JARDINS PARTAGES" sheetId="2" r:id="rId2"/>
    <sheet name="JARDINS PRODUCTIFS" sheetId="3" r:id="rId3"/>
    <sheet name="PUC" sheetId="4" r:id="rId4"/>
    <sheet name="CITES FERTILLES" sheetId="8" r:id="rId5"/>
    <sheet name="MASSIFS NOURRICIERS" sheetId="7" r:id="rId6"/>
    <sheet name="TOTAL_SUPERFICIE" sheetId="5" r:id="rId7"/>
    <sheet name="NOMBRE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6" l="1"/>
  <c r="B4" i="6"/>
  <c r="G219" i="1"/>
  <c r="B11" i="5"/>
  <c r="F15" i="8"/>
  <c r="F3" i="3"/>
  <c r="B7" i="6"/>
  <c r="B5" i="6"/>
  <c r="B3" i="6"/>
  <c r="B14" i="5"/>
  <c r="B7" i="5"/>
  <c r="B5" i="5"/>
  <c r="G3" i="4"/>
  <c r="B2" i="6"/>
  <c r="G4" i="1"/>
  <c r="B2" i="5" s="1"/>
  <c r="G12" i="2"/>
  <c r="F5" i="7"/>
  <c r="B10" i="6" l="1"/>
  <c r="B6" i="5"/>
  <c r="B3" i="5"/>
  <c r="B10" i="5" l="1"/>
  <c r="B17" i="5"/>
  <c r="B18" i="5" l="1"/>
</calcChain>
</file>

<file path=xl/sharedStrings.xml><?xml version="1.0" encoding="utf-8"?>
<sst xmlns="http://schemas.openxmlformats.org/spreadsheetml/2006/main" count="321" uniqueCount="213">
  <si>
    <t>FID</t>
  </si>
  <si>
    <t>NOM</t>
  </si>
  <si>
    <t>DATE</t>
  </si>
  <si>
    <t>SURPERFICIE M2</t>
  </si>
  <si>
    <t>Kleingärten</t>
  </si>
  <si>
    <t>LES CEDRES</t>
  </si>
  <si>
    <t>KLEINGARTENANLAGE</t>
  </si>
  <si>
    <t>CITÉ WESTHOFFEN</t>
  </si>
  <si>
    <t>JARDINS FAMILIAUX DE LA VOGELAU 2</t>
  </si>
  <si>
    <t>JARDINS</t>
  </si>
  <si>
    <t>CIRIERS</t>
  </si>
  <si>
    <t>KALTAU 1</t>
  </si>
  <si>
    <t>BREITLACH</t>
  </si>
  <si>
    <t>ELSAU</t>
  </si>
  <si>
    <t>KALTAU 2</t>
  </si>
  <si>
    <t>LOMBARTSWOERTH</t>
  </si>
  <si>
    <t>KURGARTEN</t>
  </si>
  <si>
    <t>JARDINS FAMILIAUX</t>
  </si>
  <si>
    <t>MUSAU</t>
  </si>
  <si>
    <t>LABROQUE</t>
  </si>
  <si>
    <t>JARDIN PARTAGE</t>
  </si>
  <si>
    <t>PARC DE CRONENBOURG</t>
  </si>
  <si>
    <t>JARDINS FAMILIAUX AU WIHREL</t>
  </si>
  <si>
    <t>MAQUIS</t>
  </si>
  <si>
    <t>WOLFSLOCH</t>
  </si>
  <si>
    <t>HEYRITZ</t>
  </si>
  <si>
    <t>GRUNEBERGEBLEICHE</t>
  </si>
  <si>
    <t>KIBITZENAU</t>
  </si>
  <si>
    <t>KRUMMERORT</t>
  </si>
  <si>
    <t>WACKEN</t>
  </si>
  <si>
    <t>JONCS</t>
  </si>
  <si>
    <t>KAMMATT</t>
  </si>
  <si>
    <t>DOERNELBRUCK</t>
  </si>
  <si>
    <t>OFFENSTEIN</t>
  </si>
  <si>
    <t>COUBERTIN</t>
  </si>
  <si>
    <t>WANTZENAU</t>
  </si>
  <si>
    <t>ANGUILLE</t>
  </si>
  <si>
    <t>CORPS DE GARDE</t>
  </si>
  <si>
    <t>ABBE LEMIRE</t>
  </si>
  <si>
    <t>VANNEAUX</t>
  </si>
  <si>
    <t>CHAMBORD</t>
  </si>
  <si>
    <t>GRAUWOG</t>
  </si>
  <si>
    <t>JACOUTOT</t>
  </si>
  <si>
    <t>AMEISENKOEPFEL 2</t>
  </si>
  <si>
    <t>KEMPF</t>
  </si>
  <si>
    <t>MITTELHAUSBERGEN</t>
  </si>
  <si>
    <t>ZIEGELWASSER</t>
  </si>
  <si>
    <t>JARDINS FAMILIAUX DU CHÂTELET DE LA FORÊT</t>
  </si>
  <si>
    <t>GÄRTNEREI</t>
  </si>
  <si>
    <t>ROEDERSFELD</t>
  </si>
  <si>
    <t>HAUTEPIERRE</t>
  </si>
  <si>
    <t>WOLFSINSEL ET PARC IMBS</t>
  </si>
  <si>
    <t>ECLUSES DES HOLTZMATTEN</t>
  </si>
  <si>
    <t>HERRENWASSER</t>
  </si>
  <si>
    <t>STAEDEL</t>
  </si>
  <si>
    <t>JARDINS FAMILIAUX DE LA VOGELAU 1</t>
  </si>
  <si>
    <t>SCHONGAUER MARTIN</t>
  </si>
  <si>
    <t>GLACIS</t>
  </si>
  <si>
    <t>HECHNER</t>
  </si>
  <si>
    <t>EGLISE ROUGE</t>
  </si>
  <si>
    <t>ENTENLOCH</t>
  </si>
  <si>
    <t>DELACROIX</t>
  </si>
  <si>
    <t>HOCHWEG</t>
  </si>
  <si>
    <t>AMEISENKOEPFEL 1</t>
  </si>
  <si>
    <t>SAINT EXUPERY</t>
  </si>
  <si>
    <t>CARPE-HAUTE ENGELBRECHTSWOERTH</t>
  </si>
  <si>
    <t>CITE DE L'ILL</t>
  </si>
  <si>
    <t>PRE SAINT GALL</t>
  </si>
  <si>
    <t>JARDINS FAMILIAUX DE LA VOGELAU 3</t>
  </si>
  <si>
    <t>JARDIN PARTAGE PORT DU RHIN 2</t>
  </si>
  <si>
    <t>MUHLBRUCHEL</t>
  </si>
  <si>
    <t>OBERSCHILTIGHEIMERWOERT</t>
  </si>
  <si>
    <t>SCHILTIGHEIMERMATT</t>
  </si>
  <si>
    <t>JARDIN MONASTIQUE DE PLANTES MEDICINALES</t>
  </si>
  <si>
    <t>BUHN</t>
  </si>
  <si>
    <t>FOSSE DES REMPARTS</t>
  </si>
  <si>
    <t>BRUHLING</t>
  </si>
  <si>
    <t>JARDINS FAMILIAUX GROSSRIED</t>
  </si>
  <si>
    <t>FEDERATION</t>
  </si>
  <si>
    <t>CAROLINGIENS</t>
  </si>
  <si>
    <t>HELENENGARTEN</t>
  </si>
  <si>
    <t>VOGELAU</t>
  </si>
  <si>
    <t>RAPHAEL</t>
  </si>
  <si>
    <t>BRULIG</t>
  </si>
  <si>
    <t>PROUST</t>
  </si>
  <si>
    <t>SOLIGNAC</t>
  </si>
  <si>
    <t>MEULES</t>
  </si>
  <si>
    <t>SCHULZENFELD</t>
  </si>
  <si>
    <t>JESUITENFELD</t>
  </si>
  <si>
    <t>SCHIRMECK</t>
  </si>
  <si>
    <t>COMMANDANTENFELD</t>
  </si>
  <si>
    <t>KRITT</t>
  </si>
  <si>
    <t>SCHULMEISTER</t>
  </si>
  <si>
    <t>GALLENBRUCHEL</t>
  </si>
  <si>
    <t>HOLTZMATT</t>
  </si>
  <si>
    <t>JARDINS FAMILIAUX GROSSMATT</t>
  </si>
  <si>
    <t>IMPRIMEURS</t>
  </si>
  <si>
    <t>HUNDSEICH</t>
  </si>
  <si>
    <t>KLEBSAU</t>
  </si>
  <si>
    <t>AUBEPINE</t>
  </si>
  <si>
    <t>LES LINOTTES</t>
  </si>
  <si>
    <t>PASTEUR GEROLD</t>
  </si>
  <si>
    <t>STEINBOURG</t>
  </si>
  <si>
    <t>JARDIN FRIDOLIN</t>
  </si>
  <si>
    <t>GROSSROETHIG</t>
  </si>
  <si>
    <t>HOCHFELDEN</t>
  </si>
  <si>
    <t>FORRER ROBERT</t>
  </si>
  <si>
    <t>AMPERE</t>
  </si>
  <si>
    <t>GLIESBERG</t>
  </si>
  <si>
    <t>RANGEN</t>
  </si>
  <si>
    <t>ILL</t>
  </si>
  <si>
    <t>GAZON</t>
  </si>
  <si>
    <t>DAGOBERT</t>
  </si>
  <si>
    <t>NEUFELD</t>
  </si>
  <si>
    <t>CHASSEURS</t>
  </si>
  <si>
    <t>KAMM</t>
  </si>
  <si>
    <t>GRUNEBERGBLEICHE</t>
  </si>
  <si>
    <t>JARDINS FAMILIAUX DU KIRCHFELD</t>
  </si>
  <si>
    <t>SUPERFICIE M2</t>
  </si>
  <si>
    <t>JARDINS PARTAGES GENERAL UHRICH</t>
  </si>
  <si>
    <t>JARDINS PARTAGES ROUE</t>
  </si>
  <si>
    <t>JARDINS PARTAGES ROETHIG</t>
  </si>
  <si>
    <t>JARDINS PARTAGES GROSSAU</t>
  </si>
  <si>
    <t>JARDINS PARTAGES BALLON</t>
  </si>
  <si>
    <t>JARDINS PARTAGES BRIN DE PAILLE</t>
  </si>
  <si>
    <t>JARDINS PARTAGES ST-GALLE PERMACULTURE</t>
  </si>
  <si>
    <t>JARDINS PARTAGES RIFF</t>
  </si>
  <si>
    <t>JARDINS PARTAGES JACQUELINE</t>
  </si>
  <si>
    <t>JARDINS PARTAGES LENTILLES</t>
  </si>
  <si>
    <t>JARDINS PARTAGES GF STRASS</t>
  </si>
  <si>
    <t>JARDINS PARTAGES ALISIERS</t>
  </si>
  <si>
    <t>JARDIN PARTAGE DU RACINE CLUB</t>
  </si>
  <si>
    <t>JARDINS PARTAGES APOLLONIA</t>
  </si>
  <si>
    <t>JARDINS PARTAGES DE KUPFERHAMMER</t>
  </si>
  <si>
    <t>JARDINS PARTAGES QUINTA FLORENTINA</t>
  </si>
  <si>
    <t>JARDINS PARTAGES LOMBRIC HARDI</t>
  </si>
  <si>
    <t>APOLLINE</t>
  </si>
  <si>
    <t>CELINE&amp;BEN</t>
  </si>
  <si>
    <t>DOMINIQUE</t>
  </si>
  <si>
    <t>FERME DU HOHBERG</t>
  </si>
  <si>
    <t>LANDSBERG</t>
  </si>
  <si>
    <t>LE CHOU DE BRUXELLES</t>
  </si>
  <si>
    <t>LE LOMBRIC HARDI</t>
  </si>
  <si>
    <t>MASSIF NOURRICIER ESPLANADE</t>
  </si>
  <si>
    <t>NA</t>
  </si>
  <si>
    <t>PUC GUYNEMER</t>
  </si>
  <si>
    <t>PUC ST-GALL</t>
  </si>
  <si>
    <t>PUC ELSAU</t>
  </si>
  <si>
    <t>PUC CITADELLE</t>
  </si>
  <si>
    <t>PUC FOULONS</t>
  </si>
  <si>
    <t>TOTAL</t>
  </si>
  <si>
    <t>total</t>
  </si>
  <si>
    <t>FAMILIAUX</t>
  </si>
  <si>
    <t>PARTAGES</t>
  </si>
  <si>
    <t>PRODUCTIFS</t>
  </si>
  <si>
    <t>PUC</t>
  </si>
  <si>
    <t>HECTARES</t>
  </si>
  <si>
    <t>SUPERFICIE</t>
  </si>
  <si>
    <t>NOMBRE</t>
  </si>
  <si>
    <t>JARDINS REPERTORIES</t>
  </si>
  <si>
    <t>JARDINS PARTAGES KARINE</t>
  </si>
  <si>
    <t>JARDINS PARTAGES CATHERINE</t>
  </si>
  <si>
    <t>JARDINS PARTAGES SOUS LE SOLEIL</t>
  </si>
  <si>
    <t>JARDINS PARTAGES CSC L'ESCALE</t>
  </si>
  <si>
    <t>JARDINS POTTIER / RENAISSANCE</t>
  </si>
  <si>
    <t>JARDINS PARTAGES JACOUTOT</t>
  </si>
  <si>
    <t>JARDINS PARTAGES MELANIE</t>
  </si>
  <si>
    <t>JARDINS PARTAGES FRIDOLIN</t>
  </si>
  <si>
    <t>JARDINS PARTAGES LE CHOU DE BRUXELLES</t>
  </si>
  <si>
    <t>JARDINS PARTAGES SQUARE ST-JEAN</t>
  </si>
  <si>
    <t>JARDINS PARTAGES DU JEU DE PAUME</t>
  </si>
  <si>
    <t>JARDINS PARTAGES L'ARROSOIR</t>
  </si>
  <si>
    <t>JARDINS PARTAGES D'ENTRAIDE-LE-RELAIS</t>
  </si>
  <si>
    <t>JARDINS PARTAGES O'JARDIN</t>
  </si>
  <si>
    <t>JARDINS PARTAGES NAUR'ISTHME</t>
  </si>
  <si>
    <t>JARDINS PARTAGES REUSS</t>
  </si>
  <si>
    <t>JARDINS PARTAGES LE PETIT PRINCE</t>
  </si>
  <si>
    <t>JARDINS PARTAGES LE CLOS DES MARRONNIERS</t>
  </si>
  <si>
    <t>JARDINS PARTAGES UN COUIN D'JARDIN</t>
  </si>
  <si>
    <t>JARDINS PARTAGES LA GRELINETTE</t>
  </si>
  <si>
    <t>JARDINS PARTAGES DE L'AUBEPINE</t>
  </si>
  <si>
    <t>JARDINS PARTAGES DU PARC DU CHATEAU</t>
  </si>
  <si>
    <t>JARDINS PARTAGES DE L'(H)ETRE</t>
  </si>
  <si>
    <t>POULAILLER DE L'ASSOCIATION D'AVICULTURE DE SCHILTIGHEIM</t>
  </si>
  <si>
    <t>JARDINS PARTAGES DU PARC DES OISEAUX</t>
  </si>
  <si>
    <t>JARDIN COLLECTIF PIED D'IMMEUBLE</t>
  </si>
  <si>
    <t>JARDINS PARTAGERS MICROCOSME</t>
  </si>
  <si>
    <t>JARDINS PARTAGES DES METAMORPHOSES</t>
  </si>
  <si>
    <t>JARDINS COLLECTIFS CSC DE L'ARES</t>
  </si>
  <si>
    <t>JARDINS PARTAGES PORT DU RHIN</t>
  </si>
  <si>
    <t>JARDINS PARTAGES RATATOUILLE</t>
  </si>
  <si>
    <t>JARDINS PARTAGES DE PAGNOL</t>
  </si>
  <si>
    <t>VERGER PARTAGER D'OBERHAUSBERGEN</t>
  </si>
  <si>
    <t>JARDINS PARTAGES DE L'ILE DES EPIS</t>
  </si>
  <si>
    <t>JARDINS PARTAGES ABC VERT</t>
  </si>
  <si>
    <t>PARDINS PARTAGES CSC NUEHOF</t>
  </si>
  <si>
    <t>JARDINS PARTAGES DES BATELIERS</t>
  </si>
  <si>
    <t>FORET NOURRICIERE PARTAGEE DES PLANTEURS CUEILLEURS</t>
  </si>
  <si>
    <t>JARDINs DÉJÀ PRIT EN COMPTE DANS LEUR CATE RESPECTIFS</t>
  </si>
  <si>
    <t>Massif nourricier Esplanade</t>
  </si>
  <si>
    <t>Massif nourricier Gare</t>
  </si>
  <si>
    <t>CITE FERTILE ILL DES TERRES NOUVELLES</t>
  </si>
  <si>
    <t>CITES FERTILES</t>
  </si>
  <si>
    <t>MASSIFS NOURRICIERS</t>
  </si>
  <si>
    <t>TOTAL des jardins m2</t>
  </si>
  <si>
    <t>SUPERFICIE Eurométropole Strasbourg km2</t>
  </si>
  <si>
    <t>SUPERFICIE Eurométropole Strasbourg ha</t>
  </si>
  <si>
    <t>Pourcentage de jardin au sein de l'EMS</t>
  </si>
  <si>
    <t>SUPERFICIE Strasbourg ha</t>
  </si>
  <si>
    <t>Pourcentage de jardin au sein de Strasbourg</t>
  </si>
  <si>
    <t>Jardins répertoriés</t>
  </si>
  <si>
    <t xml:space="preserve">VERGER DES POIRES SECOUEES </t>
  </si>
  <si>
    <t>Nombre de jardins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</si>
</sst>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/>
    <xf numFmtId="4" fontId="0" fillId="0" borderId="1" xfId="0" applyNumberFormat="1" applyBorder="1"/>
    <xf numFmtId="0" fontId="0" fillId="3" borderId="1" xfId="0" applyFill="1" applyBorder="1"/>
    <xf numFmtId="10" fontId="0" fillId="3" borderId="1" xfId="0" applyNumberFormat="1" applyFill="1" applyBorder="1"/>
    <xf numFmtId="1" fontId="0" fillId="2" borderId="1" xfId="0" applyNumberForma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10" fontId="0" fillId="5" borderId="1" xfId="0" applyNumberFormat="1" applyFill="1" applyBorder="1"/>
    <xf numFmtId="168" fontId="0" fillId="2" borderId="1" xfId="0" applyNumberFormat="1" applyFill="1" applyBorder="1"/>
  </cellXfs>
  <cellStyles count="1"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1B20EB-E91C-4905-BCB3-0F0148964832}" name="Tableau2" displayName="Tableau2" ref="A1:D216" totalsRowShown="0" headerRowDxfId="7" headerRowBorderDxfId="6" tableBorderDxfId="5" totalsRowBorderDxfId="4">
  <autoFilter ref="A1:D216" xr:uid="{C41B20EB-E91C-4905-BCB3-0F0148964832}"/>
  <sortState xmlns:xlrd2="http://schemas.microsoft.com/office/spreadsheetml/2017/richdata2" ref="A2:D216">
    <sortCondition ref="A1:A216"/>
  </sortState>
  <tableColumns count="4">
    <tableColumn id="1" xr3:uid="{0B7F4450-A50C-4F3D-B768-812283403399}" name="FID" dataDxfId="3"/>
    <tableColumn id="2" xr3:uid="{E7827636-E5C6-4AFE-8606-7E7825CBAB8C}" name="NOM" dataDxfId="2"/>
    <tableColumn id="3" xr3:uid="{BA936A2C-D13C-46A2-9CA1-CD5DCB80F0BE}" name="DATE" dataDxfId="1"/>
    <tableColumn id="4" xr3:uid="{1555D734-CF4C-448F-971C-6738381EBCC5}" name="SURPERFICIE M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9"/>
  <sheetViews>
    <sheetView topLeftCell="A196" workbookViewId="0">
      <selection activeCell="I211" sqref="I211"/>
    </sheetView>
  </sheetViews>
  <sheetFormatPr baseColWidth="10" defaultColWidth="8.7265625" defaultRowHeight="14.5" x14ac:dyDescent="0.35"/>
  <cols>
    <col min="1" max="1" width="20.7265625" customWidth="1"/>
    <col min="2" max="2" width="33.81640625" customWidth="1"/>
    <col min="4" max="4" width="17.08984375" customWidth="1"/>
    <col min="7" max="7" width="17.6328125" customWidth="1"/>
  </cols>
  <sheetData>
    <row r="1" spans="1:7" x14ac:dyDescent="0.35">
      <c r="A1" s="10" t="s">
        <v>0</v>
      </c>
      <c r="B1" s="11" t="s">
        <v>1</v>
      </c>
      <c r="C1" s="11" t="s">
        <v>2</v>
      </c>
      <c r="D1" s="12" t="s">
        <v>3</v>
      </c>
    </row>
    <row r="2" spans="1:7" x14ac:dyDescent="0.35">
      <c r="A2" s="8">
        <v>1</v>
      </c>
      <c r="B2" s="1" t="s">
        <v>4</v>
      </c>
      <c r="C2" s="1">
        <v>2026</v>
      </c>
      <c r="D2" s="9">
        <v>25400.673805538561</v>
      </c>
    </row>
    <row r="3" spans="1:7" x14ac:dyDescent="0.35">
      <c r="A3" s="8">
        <v>2</v>
      </c>
      <c r="B3" s="1" t="s">
        <v>5</v>
      </c>
      <c r="C3" s="1">
        <v>2026</v>
      </c>
      <c r="D3" s="9">
        <v>8735.6730622537434</v>
      </c>
    </row>
    <row r="4" spans="1:7" x14ac:dyDescent="0.35">
      <c r="A4" s="8">
        <v>3</v>
      </c>
      <c r="B4" s="1" t="s">
        <v>6</v>
      </c>
      <c r="C4" s="1">
        <v>2026</v>
      </c>
      <c r="D4" s="9">
        <v>3837.7633125502621</v>
      </c>
      <c r="F4" s="18" t="s">
        <v>150</v>
      </c>
      <c r="G4" s="18">
        <f>SUM(Tableau2[SURPERFICIE M2])</f>
        <v>2227302.7899881979</v>
      </c>
    </row>
    <row r="5" spans="1:7" x14ac:dyDescent="0.35">
      <c r="A5" s="8">
        <v>4</v>
      </c>
      <c r="B5" s="1" t="s">
        <v>7</v>
      </c>
      <c r="C5" s="1">
        <v>2026</v>
      </c>
      <c r="D5" s="9">
        <v>10199.179247286171</v>
      </c>
    </row>
    <row r="6" spans="1:7" x14ac:dyDescent="0.35">
      <c r="A6" s="8">
        <v>5</v>
      </c>
      <c r="B6" s="1" t="s">
        <v>8</v>
      </c>
      <c r="C6" s="1">
        <v>2026</v>
      </c>
      <c r="D6" s="9">
        <v>8043.4402886666358</v>
      </c>
    </row>
    <row r="7" spans="1:7" x14ac:dyDescent="0.35">
      <c r="A7" s="8">
        <v>6</v>
      </c>
      <c r="B7" s="1"/>
      <c r="C7" s="1">
        <v>2026</v>
      </c>
      <c r="D7" s="9">
        <v>6153.4257395956674</v>
      </c>
    </row>
    <row r="8" spans="1:7" x14ac:dyDescent="0.35">
      <c r="A8" s="8">
        <v>7</v>
      </c>
      <c r="B8" s="1" t="s">
        <v>9</v>
      </c>
      <c r="C8" s="1">
        <v>2026</v>
      </c>
      <c r="D8" s="9">
        <v>3461.603946179152</v>
      </c>
    </row>
    <row r="9" spans="1:7" x14ac:dyDescent="0.35">
      <c r="A9" s="8">
        <v>8</v>
      </c>
      <c r="B9" s="1" t="s">
        <v>10</v>
      </c>
      <c r="C9" s="1">
        <v>2026</v>
      </c>
      <c r="D9" s="9">
        <v>3823.4797431956981</v>
      </c>
    </row>
    <row r="10" spans="1:7" x14ac:dyDescent="0.35">
      <c r="A10" s="8">
        <v>9</v>
      </c>
      <c r="B10" s="1" t="s">
        <v>11</v>
      </c>
      <c r="C10" s="1">
        <v>2026</v>
      </c>
      <c r="D10" s="9">
        <v>2279.8535755798221</v>
      </c>
    </row>
    <row r="11" spans="1:7" x14ac:dyDescent="0.35">
      <c r="A11" s="8">
        <v>10</v>
      </c>
      <c r="B11" s="1" t="s">
        <v>12</v>
      </c>
      <c r="C11" s="1">
        <v>2026</v>
      </c>
      <c r="D11" s="9">
        <v>67308.304372541694</v>
      </c>
    </row>
    <row r="12" spans="1:7" x14ac:dyDescent="0.35">
      <c r="A12" s="8">
        <v>11</v>
      </c>
      <c r="B12" s="1" t="s">
        <v>13</v>
      </c>
      <c r="C12" s="1">
        <v>2026</v>
      </c>
      <c r="D12" s="9">
        <v>2762.4048489155248</v>
      </c>
    </row>
    <row r="13" spans="1:7" x14ac:dyDescent="0.35">
      <c r="A13" s="8">
        <v>12</v>
      </c>
      <c r="B13" s="1" t="s">
        <v>14</v>
      </c>
      <c r="C13" s="1">
        <v>2026</v>
      </c>
      <c r="D13" s="9">
        <v>5570.2212836095132</v>
      </c>
    </row>
    <row r="14" spans="1:7" x14ac:dyDescent="0.35">
      <c r="A14" s="8">
        <v>13</v>
      </c>
      <c r="B14" s="1"/>
      <c r="C14" s="1">
        <v>2026</v>
      </c>
      <c r="D14" s="9">
        <v>4629.189833828912</v>
      </c>
    </row>
    <row r="15" spans="1:7" x14ac:dyDescent="0.35">
      <c r="A15" s="8">
        <v>14</v>
      </c>
      <c r="B15" s="1" t="s">
        <v>15</v>
      </c>
      <c r="C15" s="1">
        <v>2026</v>
      </c>
      <c r="D15" s="9">
        <v>1384.365997828543</v>
      </c>
    </row>
    <row r="16" spans="1:7" x14ac:dyDescent="0.35">
      <c r="A16" s="8">
        <v>15</v>
      </c>
      <c r="B16" s="1" t="s">
        <v>16</v>
      </c>
      <c r="C16" s="1">
        <v>2026</v>
      </c>
      <c r="D16" s="9">
        <v>4784.8353375402658</v>
      </c>
    </row>
    <row r="17" spans="1:4" x14ac:dyDescent="0.35">
      <c r="A17" s="8">
        <v>16</v>
      </c>
      <c r="B17" s="1" t="s">
        <v>17</v>
      </c>
      <c r="C17" s="1">
        <v>2026</v>
      </c>
      <c r="D17" s="9">
        <v>3762.4369438365102</v>
      </c>
    </row>
    <row r="18" spans="1:4" x14ac:dyDescent="0.35">
      <c r="A18" s="8">
        <v>17</v>
      </c>
      <c r="B18" s="1"/>
      <c r="C18" s="1">
        <v>2026</v>
      </c>
      <c r="D18" s="9">
        <v>56674.990815925237</v>
      </c>
    </row>
    <row r="19" spans="1:4" x14ac:dyDescent="0.35">
      <c r="A19" s="8">
        <v>18</v>
      </c>
      <c r="B19" s="1" t="s">
        <v>18</v>
      </c>
      <c r="C19" s="1">
        <v>2026</v>
      </c>
      <c r="D19" s="9">
        <v>4979.3908436982747</v>
      </c>
    </row>
    <row r="20" spans="1:4" x14ac:dyDescent="0.35">
      <c r="A20" s="8">
        <v>19</v>
      </c>
      <c r="B20" s="1" t="s">
        <v>19</v>
      </c>
      <c r="C20" s="1">
        <v>2026</v>
      </c>
      <c r="D20" s="9">
        <v>2648.6871191345849</v>
      </c>
    </row>
    <row r="21" spans="1:4" x14ac:dyDescent="0.35">
      <c r="A21" s="8">
        <v>20</v>
      </c>
      <c r="B21" s="1"/>
      <c r="C21" s="1">
        <v>2026</v>
      </c>
      <c r="D21" s="9">
        <v>1015.247102916623</v>
      </c>
    </row>
    <row r="22" spans="1:4" x14ac:dyDescent="0.35">
      <c r="A22" s="8">
        <v>21</v>
      </c>
      <c r="B22" s="1"/>
      <c r="C22" s="1">
        <v>2026</v>
      </c>
      <c r="D22" s="9">
        <v>2895.901889071974</v>
      </c>
    </row>
    <row r="23" spans="1:4" x14ac:dyDescent="0.35">
      <c r="A23" s="8">
        <v>22</v>
      </c>
      <c r="B23" s="1" t="s">
        <v>20</v>
      </c>
      <c r="C23" s="1">
        <v>2026</v>
      </c>
      <c r="D23" s="9">
        <v>1780.0209940839561</v>
      </c>
    </row>
    <row r="24" spans="1:4" x14ac:dyDescent="0.35">
      <c r="A24" s="8">
        <v>23</v>
      </c>
      <c r="B24" s="1"/>
      <c r="C24" s="1">
        <v>2026</v>
      </c>
      <c r="D24" s="9">
        <v>5100.7187026103566</v>
      </c>
    </row>
    <row r="25" spans="1:4" x14ac:dyDescent="0.35">
      <c r="A25" s="8">
        <v>24</v>
      </c>
      <c r="B25" s="1" t="s">
        <v>21</v>
      </c>
      <c r="C25" s="1">
        <v>2026</v>
      </c>
      <c r="D25" s="9">
        <v>5036.0597910066208</v>
      </c>
    </row>
    <row r="26" spans="1:4" x14ac:dyDescent="0.35">
      <c r="A26" s="8">
        <v>25</v>
      </c>
      <c r="B26" s="1" t="s">
        <v>17</v>
      </c>
      <c r="C26" s="1">
        <v>2026</v>
      </c>
      <c r="D26" s="9">
        <v>9804.9668357074261</v>
      </c>
    </row>
    <row r="27" spans="1:4" x14ac:dyDescent="0.35">
      <c r="A27" s="8">
        <v>26</v>
      </c>
      <c r="B27" s="1" t="s">
        <v>22</v>
      </c>
      <c r="C27" s="1">
        <v>2026</v>
      </c>
      <c r="D27" s="9">
        <v>5129.9201594723854</v>
      </c>
    </row>
    <row r="28" spans="1:4" x14ac:dyDescent="0.35">
      <c r="A28" s="8">
        <v>27</v>
      </c>
      <c r="B28" s="1"/>
      <c r="C28" s="1">
        <v>2026</v>
      </c>
      <c r="D28" s="9">
        <v>1501.2597514055669</v>
      </c>
    </row>
    <row r="29" spans="1:4" x14ac:dyDescent="0.35">
      <c r="A29" s="8">
        <v>28</v>
      </c>
      <c r="B29" s="1" t="s">
        <v>23</v>
      </c>
      <c r="C29" s="1">
        <v>2026</v>
      </c>
      <c r="D29" s="9">
        <v>11008.10037687421</v>
      </c>
    </row>
    <row r="30" spans="1:4" x14ac:dyDescent="0.35">
      <c r="A30" s="8">
        <v>29</v>
      </c>
      <c r="B30" s="1" t="s">
        <v>24</v>
      </c>
      <c r="C30" s="1">
        <v>2026</v>
      </c>
      <c r="D30" s="9">
        <v>7131.5719922967264</v>
      </c>
    </row>
    <row r="31" spans="1:4" x14ac:dyDescent="0.35">
      <c r="A31" s="8">
        <v>30</v>
      </c>
      <c r="B31" s="1" t="s">
        <v>25</v>
      </c>
      <c r="C31" s="1">
        <v>2026</v>
      </c>
      <c r="D31" s="9">
        <v>1662.1751025989649</v>
      </c>
    </row>
    <row r="32" spans="1:4" x14ac:dyDescent="0.35">
      <c r="A32" s="8">
        <v>31</v>
      </c>
      <c r="B32" s="1" t="s">
        <v>13</v>
      </c>
      <c r="C32" s="1">
        <v>2026</v>
      </c>
      <c r="D32" s="9">
        <v>1451.7270881906149</v>
      </c>
    </row>
    <row r="33" spans="1:4" x14ac:dyDescent="0.35">
      <c r="A33" s="8">
        <v>32</v>
      </c>
      <c r="B33" s="1" t="s">
        <v>26</v>
      </c>
      <c r="C33" s="1">
        <v>2026</v>
      </c>
      <c r="D33" s="9">
        <v>590.14974122308195</v>
      </c>
    </row>
    <row r="34" spans="1:4" x14ac:dyDescent="0.35">
      <c r="A34" s="8">
        <v>33</v>
      </c>
      <c r="B34" s="1" t="s">
        <v>27</v>
      </c>
      <c r="C34" s="1">
        <v>2026</v>
      </c>
      <c r="D34" s="9">
        <v>719.65430953912437</v>
      </c>
    </row>
    <row r="35" spans="1:4" x14ac:dyDescent="0.35">
      <c r="A35" s="8">
        <v>34</v>
      </c>
      <c r="B35" s="1" t="s">
        <v>26</v>
      </c>
      <c r="C35" s="1">
        <v>2026</v>
      </c>
      <c r="D35" s="9">
        <v>1619.329053617548</v>
      </c>
    </row>
    <row r="36" spans="1:4" x14ac:dyDescent="0.35">
      <c r="A36" s="8">
        <v>35</v>
      </c>
      <c r="B36" s="1" t="s">
        <v>28</v>
      </c>
      <c r="C36" s="1">
        <v>2026</v>
      </c>
      <c r="D36" s="9">
        <v>9417.4903553985059</v>
      </c>
    </row>
    <row r="37" spans="1:4" x14ac:dyDescent="0.35">
      <c r="A37" s="8">
        <v>36</v>
      </c>
      <c r="B37" s="1" t="s">
        <v>15</v>
      </c>
      <c r="C37" s="1">
        <v>2026</v>
      </c>
      <c r="D37" s="9">
        <v>2221.5743971094489</v>
      </c>
    </row>
    <row r="38" spans="1:4" x14ac:dyDescent="0.35">
      <c r="A38" s="8">
        <v>37</v>
      </c>
      <c r="B38" s="1" t="s">
        <v>29</v>
      </c>
      <c r="C38" s="1">
        <v>2026</v>
      </c>
      <c r="D38" s="9">
        <v>16498.751316044811</v>
      </c>
    </row>
    <row r="39" spans="1:4" x14ac:dyDescent="0.35">
      <c r="A39" s="8">
        <v>38</v>
      </c>
      <c r="B39" s="1" t="s">
        <v>30</v>
      </c>
      <c r="C39" s="1">
        <v>2026</v>
      </c>
      <c r="D39" s="9">
        <v>4785.5165192913264</v>
      </c>
    </row>
    <row r="40" spans="1:4" x14ac:dyDescent="0.35">
      <c r="A40" s="8">
        <v>39</v>
      </c>
      <c r="B40" s="1" t="s">
        <v>11</v>
      </c>
      <c r="C40" s="1">
        <v>2026</v>
      </c>
      <c r="D40" s="9">
        <v>38327.409340141312</v>
      </c>
    </row>
    <row r="41" spans="1:4" x14ac:dyDescent="0.35">
      <c r="A41" s="8">
        <v>40</v>
      </c>
      <c r="B41" s="1"/>
      <c r="C41" s="1">
        <v>2026</v>
      </c>
      <c r="D41" s="9">
        <v>3595.4136153599252</v>
      </c>
    </row>
    <row r="42" spans="1:4" x14ac:dyDescent="0.35">
      <c r="A42" s="8">
        <v>41</v>
      </c>
      <c r="B42" s="1" t="s">
        <v>31</v>
      </c>
      <c r="C42" s="1">
        <v>2026</v>
      </c>
      <c r="D42" s="9">
        <v>1924.3987777130681</v>
      </c>
    </row>
    <row r="43" spans="1:4" x14ac:dyDescent="0.35">
      <c r="A43" s="8">
        <v>42</v>
      </c>
      <c r="B43" s="1" t="s">
        <v>32</v>
      </c>
      <c r="C43" s="1">
        <v>2026</v>
      </c>
      <c r="D43" s="9">
        <v>1457.460313767195</v>
      </c>
    </row>
    <row r="44" spans="1:4" x14ac:dyDescent="0.35">
      <c r="A44" s="8">
        <v>43</v>
      </c>
      <c r="B44" s="1" t="s">
        <v>33</v>
      </c>
      <c r="C44" s="1">
        <v>2026</v>
      </c>
      <c r="D44" s="9">
        <v>3538.9621151442411</v>
      </c>
    </row>
    <row r="45" spans="1:4" x14ac:dyDescent="0.35">
      <c r="A45" s="8">
        <v>44</v>
      </c>
      <c r="B45" s="1" t="s">
        <v>31</v>
      </c>
      <c r="C45" s="1">
        <v>2026</v>
      </c>
      <c r="D45" s="9">
        <v>3029.213959059678</v>
      </c>
    </row>
    <row r="46" spans="1:4" x14ac:dyDescent="0.35">
      <c r="A46" s="8">
        <v>45</v>
      </c>
      <c r="B46" s="1" t="s">
        <v>17</v>
      </c>
      <c r="C46" s="1">
        <v>2026</v>
      </c>
      <c r="D46" s="9">
        <v>3891.7110469471659</v>
      </c>
    </row>
    <row r="47" spans="1:4" x14ac:dyDescent="0.35">
      <c r="A47" s="8">
        <v>46</v>
      </c>
      <c r="B47" s="1" t="s">
        <v>34</v>
      </c>
      <c r="C47" s="1">
        <v>2026</v>
      </c>
      <c r="D47" s="9">
        <v>11583.53917777177</v>
      </c>
    </row>
    <row r="48" spans="1:4" x14ac:dyDescent="0.35">
      <c r="A48" s="8">
        <v>47</v>
      </c>
      <c r="B48" s="1" t="s">
        <v>35</v>
      </c>
      <c r="C48" s="1">
        <v>2026</v>
      </c>
      <c r="D48" s="9">
        <v>817.69524378329515</v>
      </c>
    </row>
    <row r="49" spans="1:4" x14ac:dyDescent="0.35">
      <c r="A49" s="8">
        <v>48</v>
      </c>
      <c r="B49" s="1" t="s">
        <v>9</v>
      </c>
      <c r="C49" s="1">
        <v>2026</v>
      </c>
      <c r="D49" s="9">
        <v>2894.5880966838449</v>
      </c>
    </row>
    <row r="50" spans="1:4" x14ac:dyDescent="0.35">
      <c r="A50" s="8">
        <v>49</v>
      </c>
      <c r="B50" s="1" t="s">
        <v>36</v>
      </c>
      <c r="C50" s="1">
        <v>2026</v>
      </c>
      <c r="D50" s="9">
        <v>4776.2530138045549</v>
      </c>
    </row>
    <row r="51" spans="1:4" x14ac:dyDescent="0.35">
      <c r="A51" s="8">
        <v>50</v>
      </c>
      <c r="B51" s="1" t="s">
        <v>37</v>
      </c>
      <c r="C51" s="1">
        <v>2026</v>
      </c>
      <c r="D51" s="9">
        <v>1024.387515019625</v>
      </c>
    </row>
    <row r="52" spans="1:4" x14ac:dyDescent="0.35">
      <c r="A52" s="8">
        <v>51</v>
      </c>
      <c r="B52" s="1" t="s">
        <v>38</v>
      </c>
      <c r="C52" s="1">
        <v>2026</v>
      </c>
      <c r="D52" s="9">
        <v>2854.7661290774122</v>
      </c>
    </row>
    <row r="53" spans="1:4" x14ac:dyDescent="0.35">
      <c r="A53" s="8">
        <v>52</v>
      </c>
      <c r="B53" s="1" t="s">
        <v>18</v>
      </c>
      <c r="C53" s="1">
        <v>2026</v>
      </c>
      <c r="D53" s="9">
        <v>357.92129026772449</v>
      </c>
    </row>
    <row r="54" spans="1:4" x14ac:dyDescent="0.35">
      <c r="A54" s="8">
        <v>53</v>
      </c>
      <c r="B54" s="1" t="s">
        <v>18</v>
      </c>
      <c r="C54" s="1">
        <v>2026</v>
      </c>
      <c r="D54" s="9">
        <v>2034.589653618634</v>
      </c>
    </row>
    <row r="55" spans="1:4" x14ac:dyDescent="0.35">
      <c r="A55" s="8">
        <v>54</v>
      </c>
      <c r="B55" s="1" t="s">
        <v>39</v>
      </c>
      <c r="C55" s="1">
        <v>2026</v>
      </c>
      <c r="D55" s="9">
        <v>857.72352036833763</v>
      </c>
    </row>
    <row r="56" spans="1:4" x14ac:dyDescent="0.35">
      <c r="A56" s="8">
        <v>55</v>
      </c>
      <c r="B56" s="1" t="s">
        <v>32</v>
      </c>
      <c r="C56" s="1">
        <v>2026</v>
      </c>
      <c r="D56" s="9">
        <v>3013.1588622443378</v>
      </c>
    </row>
    <row r="57" spans="1:4" x14ac:dyDescent="0.35">
      <c r="A57" s="8">
        <v>56</v>
      </c>
      <c r="B57" s="1" t="s">
        <v>40</v>
      </c>
      <c r="C57" s="1">
        <v>2026</v>
      </c>
      <c r="D57" s="9">
        <v>2251.018460723571</v>
      </c>
    </row>
    <row r="58" spans="1:4" x14ac:dyDescent="0.35">
      <c r="A58" s="8">
        <v>57</v>
      </c>
      <c r="B58" s="1" t="s">
        <v>41</v>
      </c>
      <c r="C58" s="1">
        <v>2026</v>
      </c>
      <c r="D58" s="9">
        <v>1587.6451459543309</v>
      </c>
    </row>
    <row r="59" spans="1:4" x14ac:dyDescent="0.35">
      <c r="A59" s="8">
        <v>58</v>
      </c>
      <c r="B59" s="1" t="s">
        <v>41</v>
      </c>
      <c r="C59" s="1">
        <v>2026</v>
      </c>
      <c r="D59" s="9">
        <v>568.98094573244452</v>
      </c>
    </row>
    <row r="60" spans="1:4" x14ac:dyDescent="0.35">
      <c r="A60" s="8">
        <v>59</v>
      </c>
      <c r="B60" s="1" t="s">
        <v>42</v>
      </c>
      <c r="C60" s="1">
        <v>2026</v>
      </c>
      <c r="D60" s="9">
        <v>5045.5425907298632</v>
      </c>
    </row>
    <row r="61" spans="1:4" x14ac:dyDescent="0.35">
      <c r="A61" s="8">
        <v>60</v>
      </c>
      <c r="B61" s="1" t="s">
        <v>43</v>
      </c>
      <c r="C61" s="1">
        <v>2026</v>
      </c>
      <c r="D61" s="9">
        <v>7613.6501572881834</v>
      </c>
    </row>
    <row r="62" spans="1:4" x14ac:dyDescent="0.35">
      <c r="A62" s="8">
        <v>61</v>
      </c>
      <c r="B62" s="1" t="s">
        <v>44</v>
      </c>
      <c r="C62" s="1">
        <v>2026</v>
      </c>
      <c r="D62" s="9">
        <v>9279.6024685101584</v>
      </c>
    </row>
    <row r="63" spans="1:4" x14ac:dyDescent="0.35">
      <c r="A63" s="8">
        <v>62</v>
      </c>
      <c r="B63" s="1" t="s">
        <v>45</v>
      </c>
      <c r="C63" s="1">
        <v>2026</v>
      </c>
      <c r="D63" s="9">
        <v>2441.11970244348</v>
      </c>
    </row>
    <row r="64" spans="1:4" x14ac:dyDescent="0.35">
      <c r="A64" s="8">
        <v>63</v>
      </c>
      <c r="B64" s="1" t="s">
        <v>46</v>
      </c>
      <c r="C64" s="1">
        <v>2026</v>
      </c>
      <c r="D64" s="9">
        <v>8396.4882077723742</v>
      </c>
    </row>
    <row r="65" spans="1:4" x14ac:dyDescent="0.35">
      <c r="A65" s="8">
        <v>64</v>
      </c>
      <c r="B65" s="1"/>
      <c r="C65" s="1">
        <v>2026</v>
      </c>
      <c r="D65" s="9">
        <v>100.5245754867792</v>
      </c>
    </row>
    <row r="66" spans="1:4" x14ac:dyDescent="0.35">
      <c r="A66" s="8">
        <v>65</v>
      </c>
      <c r="B66" s="1" t="s">
        <v>6</v>
      </c>
      <c r="C66" s="1">
        <v>2026</v>
      </c>
      <c r="D66" s="9">
        <v>34315.457588824123</v>
      </c>
    </row>
    <row r="67" spans="1:4" x14ac:dyDescent="0.35">
      <c r="A67" s="8">
        <v>66</v>
      </c>
      <c r="B67" s="1" t="s">
        <v>47</v>
      </c>
      <c r="C67" s="1">
        <v>2026</v>
      </c>
      <c r="D67" s="9">
        <v>21534.458895218559</v>
      </c>
    </row>
    <row r="68" spans="1:4" x14ac:dyDescent="0.35">
      <c r="A68" s="8">
        <v>67</v>
      </c>
      <c r="B68" s="1" t="s">
        <v>17</v>
      </c>
      <c r="C68" s="1">
        <v>2026</v>
      </c>
      <c r="D68" s="9">
        <v>12330.117894610559</v>
      </c>
    </row>
    <row r="69" spans="1:4" x14ac:dyDescent="0.35">
      <c r="A69" s="8">
        <v>68</v>
      </c>
      <c r="B69" s="1" t="s">
        <v>17</v>
      </c>
      <c r="C69" s="1">
        <v>2026</v>
      </c>
      <c r="D69" s="9">
        <v>5470.947491966188</v>
      </c>
    </row>
    <row r="70" spans="1:4" x14ac:dyDescent="0.35">
      <c r="A70" s="8">
        <v>69</v>
      </c>
      <c r="B70" s="1" t="s">
        <v>48</v>
      </c>
      <c r="C70" s="1">
        <v>2026</v>
      </c>
      <c r="D70" s="9">
        <v>36215.964682737373</v>
      </c>
    </row>
    <row r="71" spans="1:4" x14ac:dyDescent="0.35">
      <c r="A71" s="8">
        <v>70</v>
      </c>
      <c r="B71" s="1" t="s">
        <v>15</v>
      </c>
      <c r="C71" s="1">
        <v>2026</v>
      </c>
      <c r="D71" s="9">
        <v>602.2982256449759</v>
      </c>
    </row>
    <row r="72" spans="1:4" x14ac:dyDescent="0.35">
      <c r="A72" s="8">
        <v>71</v>
      </c>
      <c r="B72" s="1"/>
      <c r="C72" s="1">
        <v>2026</v>
      </c>
      <c r="D72" s="9">
        <v>15568.10223245248</v>
      </c>
    </row>
    <row r="73" spans="1:4" x14ac:dyDescent="0.35">
      <c r="A73" s="8">
        <v>72</v>
      </c>
      <c r="B73" s="1" t="s">
        <v>49</v>
      </c>
      <c r="C73" s="1">
        <v>2026</v>
      </c>
      <c r="D73" s="9">
        <v>4511.66721476987</v>
      </c>
    </row>
    <row r="74" spans="1:4" x14ac:dyDescent="0.35">
      <c r="A74" s="8">
        <v>73</v>
      </c>
      <c r="B74" s="1"/>
      <c r="C74" s="1">
        <v>2026</v>
      </c>
      <c r="D74" s="9">
        <v>6667.8788492496824</v>
      </c>
    </row>
    <row r="75" spans="1:4" x14ac:dyDescent="0.35">
      <c r="A75" s="8">
        <v>74</v>
      </c>
      <c r="B75" s="1" t="s">
        <v>4</v>
      </c>
      <c r="C75" s="1">
        <v>2026</v>
      </c>
      <c r="D75" s="9">
        <v>3305.804281020537</v>
      </c>
    </row>
    <row r="76" spans="1:4" x14ac:dyDescent="0.35">
      <c r="A76" s="8">
        <v>75</v>
      </c>
      <c r="B76" s="1" t="s">
        <v>4</v>
      </c>
      <c r="C76" s="1">
        <v>2026</v>
      </c>
      <c r="D76" s="9">
        <v>3710.7227287851269</v>
      </c>
    </row>
    <row r="77" spans="1:4" x14ac:dyDescent="0.35">
      <c r="A77" s="8">
        <v>76</v>
      </c>
      <c r="B77" s="1" t="s">
        <v>4</v>
      </c>
      <c r="C77" s="1">
        <v>2026</v>
      </c>
      <c r="D77" s="9">
        <v>984.12491688411683</v>
      </c>
    </row>
    <row r="78" spans="1:4" x14ac:dyDescent="0.35">
      <c r="A78" s="8">
        <v>77</v>
      </c>
      <c r="B78" s="1" t="s">
        <v>17</v>
      </c>
      <c r="C78" s="1">
        <v>2026</v>
      </c>
      <c r="D78" s="9">
        <v>6989.0096856668806</v>
      </c>
    </row>
    <row r="79" spans="1:4" x14ac:dyDescent="0.35">
      <c r="A79" s="8">
        <v>78</v>
      </c>
      <c r="B79" s="1" t="s">
        <v>9</v>
      </c>
      <c r="C79" s="1">
        <v>2026</v>
      </c>
      <c r="D79" s="9">
        <v>5385.3946111220866</v>
      </c>
    </row>
    <row r="80" spans="1:4" x14ac:dyDescent="0.35">
      <c r="A80" s="8">
        <v>79</v>
      </c>
      <c r="B80" s="1" t="s">
        <v>4</v>
      </c>
      <c r="C80" s="1">
        <v>2026</v>
      </c>
      <c r="D80" s="9">
        <v>1079.1362433163449</v>
      </c>
    </row>
    <row r="81" spans="1:4" x14ac:dyDescent="0.35">
      <c r="A81" s="8">
        <v>80</v>
      </c>
      <c r="B81" s="1" t="s">
        <v>50</v>
      </c>
      <c r="C81" s="1">
        <v>2026</v>
      </c>
      <c r="D81" s="9">
        <v>42714.354815721243</v>
      </c>
    </row>
    <row r="82" spans="1:4" x14ac:dyDescent="0.35">
      <c r="A82" s="8">
        <v>81</v>
      </c>
      <c r="B82" s="1" t="s">
        <v>43</v>
      </c>
      <c r="C82" s="1">
        <v>2026</v>
      </c>
      <c r="D82" s="9">
        <v>8960.6411302017514</v>
      </c>
    </row>
    <row r="83" spans="1:4" x14ac:dyDescent="0.35">
      <c r="A83" s="8">
        <v>82</v>
      </c>
      <c r="B83" s="1" t="s">
        <v>51</v>
      </c>
      <c r="C83" s="1">
        <v>2026</v>
      </c>
      <c r="D83" s="9">
        <v>5330.2481906060129</v>
      </c>
    </row>
    <row r="84" spans="1:4" x14ac:dyDescent="0.35">
      <c r="A84" s="8">
        <v>83</v>
      </c>
      <c r="B84" s="1"/>
      <c r="C84" s="1">
        <v>2026</v>
      </c>
      <c r="D84" s="9">
        <v>8076.5762178935111</v>
      </c>
    </row>
    <row r="85" spans="1:4" x14ac:dyDescent="0.35">
      <c r="A85" s="8">
        <v>84</v>
      </c>
      <c r="B85" s="1" t="s">
        <v>52</v>
      </c>
      <c r="C85" s="1">
        <v>2026</v>
      </c>
      <c r="D85" s="9">
        <v>25725.770787166319</v>
      </c>
    </row>
    <row r="86" spans="1:4" x14ac:dyDescent="0.35">
      <c r="A86" s="8">
        <v>85</v>
      </c>
      <c r="B86" s="1" t="s">
        <v>53</v>
      </c>
      <c r="C86" s="1">
        <v>2026</v>
      </c>
      <c r="D86" s="9">
        <v>12141.388237044221</v>
      </c>
    </row>
    <row r="87" spans="1:4" x14ac:dyDescent="0.35">
      <c r="A87" s="8">
        <v>86</v>
      </c>
      <c r="B87" s="1" t="s">
        <v>54</v>
      </c>
      <c r="C87" s="1">
        <v>2026</v>
      </c>
      <c r="D87" s="9">
        <v>2728.3253270369019</v>
      </c>
    </row>
    <row r="88" spans="1:4" x14ac:dyDescent="0.35">
      <c r="A88" s="8">
        <v>87</v>
      </c>
      <c r="B88" s="1" t="s">
        <v>17</v>
      </c>
      <c r="C88" s="1">
        <v>2026</v>
      </c>
      <c r="D88" s="9">
        <v>37508.338729460207</v>
      </c>
    </row>
    <row r="89" spans="1:4" x14ac:dyDescent="0.35">
      <c r="A89" s="8">
        <v>88</v>
      </c>
      <c r="B89" s="1"/>
      <c r="C89" s="1">
        <v>2026</v>
      </c>
      <c r="D89" s="9">
        <v>11726.577121995861</v>
      </c>
    </row>
    <row r="90" spans="1:4" x14ac:dyDescent="0.35">
      <c r="A90" s="8">
        <v>89</v>
      </c>
      <c r="B90" s="1" t="s">
        <v>17</v>
      </c>
      <c r="C90" s="1">
        <v>2026</v>
      </c>
      <c r="D90" s="9">
        <v>17560.839726117909</v>
      </c>
    </row>
    <row r="91" spans="1:4" x14ac:dyDescent="0.35">
      <c r="A91" s="8">
        <v>90</v>
      </c>
      <c r="B91" s="1" t="s">
        <v>9</v>
      </c>
      <c r="C91" s="1">
        <v>2026</v>
      </c>
      <c r="D91" s="9">
        <v>4872.5843463670462</v>
      </c>
    </row>
    <row r="92" spans="1:4" x14ac:dyDescent="0.35">
      <c r="A92" s="8">
        <v>91</v>
      </c>
      <c r="B92" s="1" t="s">
        <v>55</v>
      </c>
      <c r="C92" s="1">
        <v>2026</v>
      </c>
      <c r="D92" s="9">
        <v>29564.875346760269</v>
      </c>
    </row>
    <row r="93" spans="1:4" x14ac:dyDescent="0.35">
      <c r="A93" s="8">
        <v>92</v>
      </c>
      <c r="B93" s="1" t="s">
        <v>56</v>
      </c>
      <c r="C93" s="1">
        <v>2026</v>
      </c>
      <c r="D93" s="9">
        <v>9429.2492153854109</v>
      </c>
    </row>
    <row r="94" spans="1:4" x14ac:dyDescent="0.35">
      <c r="A94" s="8">
        <v>93</v>
      </c>
      <c r="B94" s="1" t="s">
        <v>57</v>
      </c>
      <c r="C94" s="1">
        <v>2026</v>
      </c>
      <c r="D94" s="9">
        <v>9650.9781559785479</v>
      </c>
    </row>
    <row r="95" spans="1:4" x14ac:dyDescent="0.35">
      <c r="A95" s="8">
        <v>94</v>
      </c>
      <c r="B95" s="1" t="s">
        <v>17</v>
      </c>
      <c r="C95" s="1">
        <v>2026</v>
      </c>
      <c r="D95" s="9">
        <v>19892.27121248643</v>
      </c>
    </row>
    <row r="96" spans="1:4" x14ac:dyDescent="0.35">
      <c r="A96" s="8">
        <v>95</v>
      </c>
      <c r="B96" s="1" t="s">
        <v>9</v>
      </c>
      <c r="C96" s="1">
        <v>2026</v>
      </c>
      <c r="D96" s="9">
        <v>14444.88710770931</v>
      </c>
    </row>
    <row r="97" spans="1:4" x14ac:dyDescent="0.35">
      <c r="A97" s="8">
        <v>96</v>
      </c>
      <c r="B97" s="1" t="s">
        <v>15</v>
      </c>
      <c r="C97" s="1">
        <v>2026</v>
      </c>
      <c r="D97" s="9">
        <v>11198.89683496207</v>
      </c>
    </row>
    <row r="98" spans="1:4" x14ac:dyDescent="0.35">
      <c r="A98" s="8">
        <v>97</v>
      </c>
      <c r="B98" s="1" t="s">
        <v>46</v>
      </c>
      <c r="C98" s="1">
        <v>2026</v>
      </c>
      <c r="D98" s="9">
        <v>4363.0922142099589</v>
      </c>
    </row>
    <row r="99" spans="1:4" x14ac:dyDescent="0.35">
      <c r="A99" s="8">
        <v>98</v>
      </c>
      <c r="B99" s="1" t="s">
        <v>58</v>
      </c>
      <c r="C99" s="1">
        <v>2026</v>
      </c>
      <c r="D99" s="9">
        <v>5053.9401293024421</v>
      </c>
    </row>
    <row r="100" spans="1:4" x14ac:dyDescent="0.35">
      <c r="A100" s="8">
        <v>99</v>
      </c>
      <c r="B100" s="1" t="s">
        <v>59</v>
      </c>
      <c r="C100" s="1">
        <v>2026</v>
      </c>
      <c r="D100" s="9">
        <v>33235.24235442502</v>
      </c>
    </row>
    <row r="101" spans="1:4" x14ac:dyDescent="0.35">
      <c r="A101" s="8">
        <v>100</v>
      </c>
      <c r="B101" s="1" t="s">
        <v>60</v>
      </c>
      <c r="C101" s="1">
        <v>2026</v>
      </c>
      <c r="D101" s="9">
        <v>4109.8583288928494</v>
      </c>
    </row>
    <row r="102" spans="1:4" x14ac:dyDescent="0.35">
      <c r="A102" s="8">
        <v>101</v>
      </c>
      <c r="B102" s="1" t="s">
        <v>50</v>
      </c>
      <c r="C102" s="1">
        <v>2026</v>
      </c>
      <c r="D102" s="9">
        <v>38915.861657241083</v>
      </c>
    </row>
    <row r="103" spans="1:4" x14ac:dyDescent="0.35">
      <c r="A103" s="8">
        <v>102</v>
      </c>
      <c r="B103" s="1" t="s">
        <v>61</v>
      </c>
      <c r="C103" s="1">
        <v>2026</v>
      </c>
      <c r="D103" s="9">
        <v>42985.45003805001</v>
      </c>
    </row>
    <row r="104" spans="1:4" x14ac:dyDescent="0.35">
      <c r="A104" s="8">
        <v>103</v>
      </c>
      <c r="B104" s="1" t="s">
        <v>9</v>
      </c>
      <c r="C104" s="1">
        <v>2026</v>
      </c>
      <c r="D104" s="9">
        <v>987.92593739892618</v>
      </c>
    </row>
    <row r="105" spans="1:4" x14ac:dyDescent="0.35">
      <c r="A105" s="8">
        <v>104</v>
      </c>
      <c r="B105" s="1" t="s">
        <v>9</v>
      </c>
      <c r="C105" s="1">
        <v>2026</v>
      </c>
      <c r="D105" s="9">
        <v>2914.6500240266319</v>
      </c>
    </row>
    <row r="106" spans="1:4" x14ac:dyDescent="0.35">
      <c r="A106" s="8">
        <v>105</v>
      </c>
      <c r="B106" s="1" t="s">
        <v>62</v>
      </c>
      <c r="C106" s="1">
        <v>2026</v>
      </c>
      <c r="D106" s="9">
        <v>9579.2841834540595</v>
      </c>
    </row>
    <row r="107" spans="1:4" x14ac:dyDescent="0.35">
      <c r="A107" s="8">
        <v>106</v>
      </c>
      <c r="B107" s="1" t="s">
        <v>63</v>
      </c>
      <c r="C107" s="1">
        <v>2026</v>
      </c>
      <c r="D107" s="9">
        <v>82226.812072232831</v>
      </c>
    </row>
    <row r="108" spans="1:4" x14ac:dyDescent="0.35">
      <c r="A108" s="8">
        <v>107</v>
      </c>
      <c r="B108" s="1" t="s">
        <v>22</v>
      </c>
      <c r="C108" s="1">
        <v>2026</v>
      </c>
      <c r="D108" s="9">
        <v>3352.9375874325629</v>
      </c>
    </row>
    <row r="109" spans="1:4" x14ac:dyDescent="0.35">
      <c r="A109" s="8">
        <v>108</v>
      </c>
      <c r="B109" s="1" t="s">
        <v>64</v>
      </c>
      <c r="C109" s="1">
        <v>2026</v>
      </c>
      <c r="D109" s="9">
        <v>1533.041071971878</v>
      </c>
    </row>
    <row r="110" spans="1:4" x14ac:dyDescent="0.35">
      <c r="A110" s="8">
        <v>109</v>
      </c>
      <c r="B110" s="1" t="s">
        <v>65</v>
      </c>
      <c r="C110" s="1">
        <v>2026</v>
      </c>
      <c r="D110" s="9">
        <v>44304.809140816287</v>
      </c>
    </row>
    <row r="111" spans="1:4" x14ac:dyDescent="0.35">
      <c r="A111" s="8">
        <v>110</v>
      </c>
      <c r="B111" s="1" t="s">
        <v>66</v>
      </c>
      <c r="C111" s="1">
        <v>2026</v>
      </c>
      <c r="D111" s="9">
        <v>33226.460741601193</v>
      </c>
    </row>
    <row r="112" spans="1:4" x14ac:dyDescent="0.35">
      <c r="A112" s="8">
        <v>111</v>
      </c>
      <c r="B112" s="1" t="s">
        <v>67</v>
      </c>
      <c r="C112" s="1">
        <v>2026</v>
      </c>
      <c r="D112" s="9">
        <v>57038.151432359358</v>
      </c>
    </row>
    <row r="113" spans="1:4" x14ac:dyDescent="0.35">
      <c r="A113" s="8">
        <v>112</v>
      </c>
      <c r="B113" s="1"/>
      <c r="C113" s="1">
        <v>2026</v>
      </c>
      <c r="D113" s="9">
        <v>5336.772106761724</v>
      </c>
    </row>
    <row r="114" spans="1:4" x14ac:dyDescent="0.35">
      <c r="A114" s="8">
        <v>113</v>
      </c>
      <c r="B114" s="1"/>
      <c r="C114" s="1">
        <v>2026</v>
      </c>
      <c r="D114" s="9">
        <v>2799.7312384545799</v>
      </c>
    </row>
    <row r="115" spans="1:4" x14ac:dyDescent="0.35">
      <c r="A115" s="8">
        <v>114</v>
      </c>
      <c r="B115" s="1" t="s">
        <v>68</v>
      </c>
      <c r="C115" s="1">
        <v>2026</v>
      </c>
      <c r="D115" s="9">
        <v>13862.05612548022</v>
      </c>
    </row>
    <row r="116" spans="1:4" x14ac:dyDescent="0.35">
      <c r="A116" s="8">
        <v>115</v>
      </c>
      <c r="B116" s="1" t="s">
        <v>9</v>
      </c>
      <c r="C116" s="1">
        <v>2026</v>
      </c>
      <c r="D116" s="9">
        <v>2216.7099082853379</v>
      </c>
    </row>
    <row r="117" spans="1:4" x14ac:dyDescent="0.35">
      <c r="A117" s="8">
        <v>116</v>
      </c>
      <c r="B117" s="1" t="s">
        <v>17</v>
      </c>
      <c r="C117" s="1">
        <v>2026</v>
      </c>
      <c r="D117" s="9">
        <v>8140.805322682485</v>
      </c>
    </row>
    <row r="118" spans="1:4" x14ac:dyDescent="0.35">
      <c r="A118" s="8">
        <v>117</v>
      </c>
      <c r="B118" s="1" t="s">
        <v>9</v>
      </c>
      <c r="C118" s="1">
        <v>2026</v>
      </c>
      <c r="D118" s="9">
        <v>3541.9613516628742</v>
      </c>
    </row>
    <row r="119" spans="1:4" x14ac:dyDescent="0.35">
      <c r="A119" s="8">
        <v>118</v>
      </c>
      <c r="B119" s="1" t="s">
        <v>5</v>
      </c>
      <c r="C119" s="1">
        <v>2026</v>
      </c>
      <c r="D119" s="9">
        <v>3898.2708571404219</v>
      </c>
    </row>
    <row r="120" spans="1:4" x14ac:dyDescent="0.35">
      <c r="A120" s="8">
        <v>119</v>
      </c>
      <c r="B120" s="1" t="s">
        <v>69</v>
      </c>
      <c r="C120" s="1">
        <v>2026</v>
      </c>
      <c r="D120" s="9">
        <v>812.37627110630274</v>
      </c>
    </row>
    <row r="121" spans="1:4" x14ac:dyDescent="0.35">
      <c r="A121" s="8">
        <v>120</v>
      </c>
      <c r="B121" s="1" t="s">
        <v>70</v>
      </c>
      <c r="C121" s="1">
        <v>2026</v>
      </c>
      <c r="D121" s="9">
        <v>2289.6370026334189</v>
      </c>
    </row>
    <row r="122" spans="1:4" x14ac:dyDescent="0.35">
      <c r="A122" s="8">
        <v>121</v>
      </c>
      <c r="B122" s="1"/>
      <c r="C122" s="1">
        <v>2026</v>
      </c>
      <c r="D122" s="9">
        <v>8051.604322768384</v>
      </c>
    </row>
    <row r="123" spans="1:4" x14ac:dyDescent="0.35">
      <c r="A123" s="8">
        <v>122</v>
      </c>
      <c r="B123" s="1" t="s">
        <v>71</v>
      </c>
      <c r="C123" s="1">
        <v>2026</v>
      </c>
      <c r="D123" s="9">
        <v>17630.940933561531</v>
      </c>
    </row>
    <row r="124" spans="1:4" x14ac:dyDescent="0.35">
      <c r="A124" s="8">
        <v>123</v>
      </c>
      <c r="B124" s="1" t="s">
        <v>17</v>
      </c>
      <c r="C124" s="1">
        <v>2026</v>
      </c>
      <c r="D124" s="9">
        <v>1812.651837368496</v>
      </c>
    </row>
    <row r="125" spans="1:4" x14ac:dyDescent="0.35">
      <c r="A125" s="8">
        <v>124</v>
      </c>
      <c r="B125" s="1" t="s">
        <v>35</v>
      </c>
      <c r="C125" s="1">
        <v>2026</v>
      </c>
      <c r="D125" s="9">
        <v>1168.9898441452531</v>
      </c>
    </row>
    <row r="126" spans="1:4" x14ac:dyDescent="0.35">
      <c r="A126" s="8">
        <v>125</v>
      </c>
      <c r="B126" s="1" t="s">
        <v>33</v>
      </c>
      <c r="C126" s="1">
        <v>2026</v>
      </c>
      <c r="D126" s="9">
        <v>27902.12535763608</v>
      </c>
    </row>
    <row r="127" spans="1:4" x14ac:dyDescent="0.35">
      <c r="A127" s="8">
        <v>126</v>
      </c>
      <c r="B127" s="1" t="s">
        <v>72</v>
      </c>
      <c r="C127" s="1">
        <v>2026</v>
      </c>
      <c r="D127" s="9">
        <v>62059.613344883663</v>
      </c>
    </row>
    <row r="128" spans="1:4" x14ac:dyDescent="0.35">
      <c r="A128" s="8">
        <v>127</v>
      </c>
      <c r="B128" s="1" t="s">
        <v>73</v>
      </c>
      <c r="C128" s="1">
        <v>2026</v>
      </c>
      <c r="D128" s="9">
        <v>1189.0377415120599</v>
      </c>
    </row>
    <row r="129" spans="1:4" x14ac:dyDescent="0.35">
      <c r="A129" s="8">
        <v>128</v>
      </c>
      <c r="B129" s="1" t="s">
        <v>17</v>
      </c>
      <c r="C129" s="1">
        <v>2026</v>
      </c>
      <c r="D129" s="9">
        <v>19750.586982192381</v>
      </c>
    </row>
    <row r="130" spans="1:4" x14ac:dyDescent="0.35">
      <c r="A130" s="8">
        <v>129</v>
      </c>
      <c r="B130" s="1" t="s">
        <v>9</v>
      </c>
      <c r="C130" s="1">
        <v>2026</v>
      </c>
      <c r="D130" s="9">
        <v>17183.037114270031</v>
      </c>
    </row>
    <row r="131" spans="1:4" x14ac:dyDescent="0.35">
      <c r="A131" s="8">
        <v>130</v>
      </c>
      <c r="B131" s="1" t="s">
        <v>74</v>
      </c>
      <c r="C131" s="1">
        <v>2026</v>
      </c>
      <c r="D131" s="9">
        <v>4906.1663170326501</v>
      </c>
    </row>
    <row r="132" spans="1:4" x14ac:dyDescent="0.35">
      <c r="A132" s="8">
        <v>131</v>
      </c>
      <c r="B132" s="1" t="s">
        <v>75</v>
      </c>
      <c r="C132" s="1">
        <v>2026</v>
      </c>
      <c r="D132" s="9">
        <v>13867.480485949671</v>
      </c>
    </row>
    <row r="133" spans="1:4" x14ac:dyDescent="0.35">
      <c r="A133" s="8">
        <v>132</v>
      </c>
      <c r="B133" s="1" t="s">
        <v>66</v>
      </c>
      <c r="C133" s="1">
        <v>2026</v>
      </c>
      <c r="D133" s="9">
        <v>18370.936592741869</v>
      </c>
    </row>
    <row r="134" spans="1:4" x14ac:dyDescent="0.35">
      <c r="A134" s="8">
        <v>133</v>
      </c>
      <c r="B134" s="1" t="s">
        <v>76</v>
      </c>
      <c r="C134" s="1">
        <v>2026</v>
      </c>
      <c r="D134" s="9">
        <v>13618.44877207125</v>
      </c>
    </row>
    <row r="135" spans="1:4" x14ac:dyDescent="0.35">
      <c r="A135" s="8">
        <v>134</v>
      </c>
      <c r="B135" s="1" t="s">
        <v>77</v>
      </c>
      <c r="C135" s="1">
        <v>2026</v>
      </c>
      <c r="D135" s="9">
        <v>14611.83927277476</v>
      </c>
    </row>
    <row r="136" spans="1:4" x14ac:dyDescent="0.35">
      <c r="A136" s="8">
        <v>135</v>
      </c>
      <c r="B136" s="1" t="s">
        <v>78</v>
      </c>
      <c r="C136" s="1">
        <v>2026</v>
      </c>
      <c r="D136" s="9">
        <v>7318.4764791354537</v>
      </c>
    </row>
    <row r="137" spans="1:4" x14ac:dyDescent="0.35">
      <c r="A137" s="8">
        <v>136</v>
      </c>
      <c r="B137" s="1" t="s">
        <v>79</v>
      </c>
      <c r="C137" s="1">
        <v>2026</v>
      </c>
      <c r="D137" s="9">
        <v>5316.4146267734468</v>
      </c>
    </row>
    <row r="138" spans="1:4" x14ac:dyDescent="0.35">
      <c r="A138" s="8">
        <v>137</v>
      </c>
      <c r="B138" s="1" t="s">
        <v>80</v>
      </c>
      <c r="C138" s="1">
        <v>2026</v>
      </c>
      <c r="D138" s="9">
        <v>89838.705708144422</v>
      </c>
    </row>
    <row r="139" spans="1:4" x14ac:dyDescent="0.35">
      <c r="A139" s="8">
        <v>138</v>
      </c>
      <c r="B139" s="1" t="s">
        <v>17</v>
      </c>
      <c r="C139" s="1">
        <v>2026</v>
      </c>
      <c r="D139" s="9">
        <v>9849.3767548858305</v>
      </c>
    </row>
    <row r="140" spans="1:4" x14ac:dyDescent="0.35">
      <c r="A140" s="8">
        <v>139</v>
      </c>
      <c r="B140" s="1" t="s">
        <v>81</v>
      </c>
      <c r="C140" s="1">
        <v>2026</v>
      </c>
      <c r="D140" s="9">
        <v>7739.1765601187944</v>
      </c>
    </row>
    <row r="141" spans="1:4" x14ac:dyDescent="0.35">
      <c r="A141" s="8">
        <v>140</v>
      </c>
      <c r="B141" s="1" t="s">
        <v>31</v>
      </c>
      <c r="C141" s="1">
        <v>2026</v>
      </c>
      <c r="D141" s="9">
        <v>1521.117105141049</v>
      </c>
    </row>
    <row r="142" spans="1:4" x14ac:dyDescent="0.35">
      <c r="A142" s="8">
        <v>141</v>
      </c>
      <c r="B142" s="1" t="s">
        <v>17</v>
      </c>
      <c r="C142" s="1">
        <v>2026</v>
      </c>
      <c r="D142" s="9">
        <v>17301.042652450731</v>
      </c>
    </row>
    <row r="143" spans="1:4" x14ac:dyDescent="0.35">
      <c r="A143" s="8">
        <v>142</v>
      </c>
      <c r="B143" s="1" t="s">
        <v>82</v>
      </c>
      <c r="C143" s="1">
        <v>2026</v>
      </c>
      <c r="D143" s="9">
        <v>20958.007693772201</v>
      </c>
    </row>
    <row r="144" spans="1:4" x14ac:dyDescent="0.35">
      <c r="A144" s="8">
        <v>143</v>
      </c>
      <c r="B144" s="1" t="s">
        <v>83</v>
      </c>
      <c r="C144" s="1">
        <v>2026</v>
      </c>
      <c r="D144" s="9">
        <v>1779.506977872923</v>
      </c>
    </row>
    <row r="145" spans="1:4" x14ac:dyDescent="0.35">
      <c r="A145" s="8">
        <v>144</v>
      </c>
      <c r="B145" s="1" t="s">
        <v>84</v>
      </c>
      <c r="C145" s="1">
        <v>2026</v>
      </c>
      <c r="D145" s="9">
        <v>4435.272680767579</v>
      </c>
    </row>
    <row r="146" spans="1:4" x14ac:dyDescent="0.35">
      <c r="A146" s="8">
        <v>145</v>
      </c>
      <c r="B146" s="1" t="s">
        <v>21</v>
      </c>
      <c r="C146" s="1">
        <v>2026</v>
      </c>
      <c r="D146" s="9">
        <v>5526.9108474655077</v>
      </c>
    </row>
    <row r="147" spans="1:4" x14ac:dyDescent="0.35">
      <c r="A147" s="8">
        <v>146</v>
      </c>
      <c r="B147" s="1" t="s">
        <v>27</v>
      </c>
      <c r="C147" s="1">
        <v>2026</v>
      </c>
      <c r="D147" s="9">
        <v>7362.6828416921198</v>
      </c>
    </row>
    <row r="148" spans="1:4" x14ac:dyDescent="0.35">
      <c r="A148" s="8">
        <v>147</v>
      </c>
      <c r="B148" s="1" t="s">
        <v>85</v>
      </c>
      <c r="C148" s="1">
        <v>2026</v>
      </c>
      <c r="D148" s="9">
        <v>11178.544233053201</v>
      </c>
    </row>
    <row r="149" spans="1:4" x14ac:dyDescent="0.35">
      <c r="A149" s="8">
        <v>148</v>
      </c>
      <c r="B149" s="1" t="s">
        <v>86</v>
      </c>
      <c r="C149" s="1">
        <v>2026</v>
      </c>
      <c r="D149" s="9">
        <v>4252.6891893753782</v>
      </c>
    </row>
    <row r="150" spans="1:4" x14ac:dyDescent="0.35">
      <c r="A150" s="8">
        <v>149</v>
      </c>
      <c r="B150" s="1" t="s">
        <v>17</v>
      </c>
      <c r="C150" s="1">
        <v>2026</v>
      </c>
      <c r="D150" s="9">
        <v>12461.60701037943</v>
      </c>
    </row>
    <row r="151" spans="1:4" x14ac:dyDescent="0.35">
      <c r="A151" s="8">
        <v>150</v>
      </c>
      <c r="B151" s="1" t="s">
        <v>17</v>
      </c>
      <c r="C151" s="1">
        <v>2026</v>
      </c>
      <c r="D151" s="9">
        <v>38247.627833028513</v>
      </c>
    </row>
    <row r="152" spans="1:4" x14ac:dyDescent="0.35">
      <c r="A152" s="8">
        <v>151</v>
      </c>
      <c r="B152" s="1" t="s">
        <v>87</v>
      </c>
      <c r="C152" s="1">
        <v>2026</v>
      </c>
      <c r="D152" s="9">
        <v>10569.939222452231</v>
      </c>
    </row>
    <row r="153" spans="1:4" x14ac:dyDescent="0.35">
      <c r="A153" s="8">
        <v>152</v>
      </c>
      <c r="B153" s="1" t="s">
        <v>4</v>
      </c>
      <c r="C153" s="1">
        <v>2026</v>
      </c>
      <c r="D153" s="9">
        <v>744.5342662287876</v>
      </c>
    </row>
    <row r="154" spans="1:4" x14ac:dyDescent="0.35">
      <c r="A154" s="8">
        <v>153</v>
      </c>
      <c r="B154" s="1" t="s">
        <v>88</v>
      </c>
      <c r="C154" s="1">
        <v>2026</v>
      </c>
      <c r="D154" s="9">
        <v>5819.2624799611513</v>
      </c>
    </row>
    <row r="155" spans="1:4" x14ac:dyDescent="0.35">
      <c r="A155" s="8">
        <v>154</v>
      </c>
      <c r="B155" s="1" t="s">
        <v>36</v>
      </c>
      <c r="C155" s="1">
        <v>2026</v>
      </c>
      <c r="D155" s="9">
        <v>1315.242941398174</v>
      </c>
    </row>
    <row r="156" spans="1:4" x14ac:dyDescent="0.35">
      <c r="A156" s="8">
        <v>155</v>
      </c>
      <c r="B156" s="1" t="s">
        <v>15</v>
      </c>
      <c r="C156" s="1">
        <v>2026</v>
      </c>
      <c r="D156" s="9">
        <v>2064.8994207195942</v>
      </c>
    </row>
    <row r="157" spans="1:4" x14ac:dyDescent="0.35">
      <c r="A157" s="8">
        <v>156</v>
      </c>
      <c r="B157" s="1" t="s">
        <v>15</v>
      </c>
      <c r="C157" s="1">
        <v>2026</v>
      </c>
      <c r="D157" s="9">
        <v>966.32158205285668</v>
      </c>
    </row>
    <row r="158" spans="1:4" x14ac:dyDescent="0.35">
      <c r="A158" s="8">
        <v>157</v>
      </c>
      <c r="B158" s="1"/>
      <c r="C158" s="1">
        <v>2026</v>
      </c>
      <c r="D158" s="9">
        <v>873.40106604620814</v>
      </c>
    </row>
    <row r="159" spans="1:4" x14ac:dyDescent="0.35">
      <c r="A159" s="8">
        <v>158</v>
      </c>
      <c r="B159" s="1" t="s">
        <v>89</v>
      </c>
      <c r="C159" s="1">
        <v>2026</v>
      </c>
      <c r="D159" s="9">
        <v>777.04740397632122</v>
      </c>
    </row>
    <row r="160" spans="1:4" x14ac:dyDescent="0.35">
      <c r="A160" s="8">
        <v>159</v>
      </c>
      <c r="B160" s="1" t="s">
        <v>17</v>
      </c>
      <c r="C160" s="1">
        <v>2026</v>
      </c>
      <c r="D160" s="9">
        <v>11033.19476863085</v>
      </c>
    </row>
    <row r="161" spans="1:4" x14ac:dyDescent="0.35">
      <c r="A161" s="8">
        <v>160</v>
      </c>
      <c r="B161" s="1"/>
      <c r="C161" s="1">
        <v>2026</v>
      </c>
      <c r="D161" s="9">
        <v>1757.904325529933</v>
      </c>
    </row>
    <row r="162" spans="1:4" x14ac:dyDescent="0.35">
      <c r="A162" s="8">
        <v>161</v>
      </c>
      <c r="B162" s="1" t="s">
        <v>90</v>
      </c>
      <c r="C162" s="1">
        <v>2026</v>
      </c>
      <c r="D162" s="9">
        <v>414.28128709644079</v>
      </c>
    </row>
    <row r="163" spans="1:4" x14ac:dyDescent="0.35">
      <c r="A163" s="8">
        <v>162</v>
      </c>
      <c r="B163" s="1" t="s">
        <v>91</v>
      </c>
      <c r="C163" s="1">
        <v>2026</v>
      </c>
      <c r="D163" s="9">
        <v>37602.974800044212</v>
      </c>
    </row>
    <row r="164" spans="1:4" x14ac:dyDescent="0.35">
      <c r="A164" s="8">
        <v>163</v>
      </c>
      <c r="B164" s="1" t="s">
        <v>17</v>
      </c>
      <c r="C164" s="1">
        <v>2026</v>
      </c>
      <c r="D164" s="9">
        <v>5413.7285466082394</v>
      </c>
    </row>
    <row r="165" spans="1:4" x14ac:dyDescent="0.35">
      <c r="A165" s="8">
        <v>164</v>
      </c>
      <c r="B165" s="1" t="s">
        <v>4</v>
      </c>
      <c r="C165" s="1">
        <v>2026</v>
      </c>
      <c r="D165" s="9">
        <v>1826.0647229477761</v>
      </c>
    </row>
    <row r="166" spans="1:4" x14ac:dyDescent="0.35">
      <c r="A166" s="8">
        <v>165</v>
      </c>
      <c r="B166" s="1" t="s">
        <v>9</v>
      </c>
      <c r="C166" s="1">
        <v>2026</v>
      </c>
      <c r="D166" s="9">
        <v>1827.1812510131861</v>
      </c>
    </row>
    <row r="167" spans="1:4" x14ac:dyDescent="0.35">
      <c r="A167" s="8">
        <v>166</v>
      </c>
      <c r="B167" s="1" t="s">
        <v>92</v>
      </c>
      <c r="C167" s="1">
        <v>2026</v>
      </c>
      <c r="D167" s="9">
        <v>23354.479791779941</v>
      </c>
    </row>
    <row r="168" spans="1:4" x14ac:dyDescent="0.35">
      <c r="A168" s="8">
        <v>167</v>
      </c>
      <c r="B168" s="1" t="s">
        <v>28</v>
      </c>
      <c r="C168" s="1">
        <v>2026</v>
      </c>
      <c r="D168" s="9">
        <v>26852.462892858279</v>
      </c>
    </row>
    <row r="169" spans="1:4" x14ac:dyDescent="0.35">
      <c r="A169" s="8">
        <v>168</v>
      </c>
      <c r="B169" s="1" t="s">
        <v>93</v>
      </c>
      <c r="C169" s="1">
        <v>2026</v>
      </c>
      <c r="D169" s="9">
        <v>27119.451885599989</v>
      </c>
    </row>
    <row r="170" spans="1:4" x14ac:dyDescent="0.35">
      <c r="A170" s="8">
        <v>169</v>
      </c>
      <c r="B170" s="1" t="s">
        <v>94</v>
      </c>
      <c r="C170" s="1">
        <v>2026</v>
      </c>
      <c r="D170" s="9">
        <v>33623.908508138273</v>
      </c>
    </row>
    <row r="171" spans="1:4" x14ac:dyDescent="0.35">
      <c r="A171" s="8">
        <v>170</v>
      </c>
      <c r="B171" s="1" t="s">
        <v>95</v>
      </c>
      <c r="C171" s="1">
        <v>2026</v>
      </c>
      <c r="D171" s="9">
        <v>32836.137255235153</v>
      </c>
    </row>
    <row r="172" spans="1:4" x14ac:dyDescent="0.35">
      <c r="A172" s="8">
        <v>171</v>
      </c>
      <c r="B172" s="1" t="s">
        <v>17</v>
      </c>
      <c r="C172" s="1">
        <v>2026</v>
      </c>
      <c r="D172" s="9">
        <v>9241.5004266528413</v>
      </c>
    </row>
    <row r="173" spans="1:4" x14ac:dyDescent="0.35">
      <c r="A173" s="8">
        <v>172</v>
      </c>
      <c r="B173" s="1" t="s">
        <v>96</v>
      </c>
      <c r="C173" s="1">
        <v>2026</v>
      </c>
      <c r="D173" s="9">
        <v>4104.3966805962846</v>
      </c>
    </row>
    <row r="174" spans="1:4" x14ac:dyDescent="0.35">
      <c r="A174" s="8">
        <v>173</v>
      </c>
      <c r="B174" s="1" t="s">
        <v>4</v>
      </c>
      <c r="C174" s="1">
        <v>2026</v>
      </c>
      <c r="D174" s="9">
        <v>1467.9001945275811</v>
      </c>
    </row>
    <row r="175" spans="1:4" x14ac:dyDescent="0.35">
      <c r="A175" s="8">
        <v>174</v>
      </c>
      <c r="B175" s="1" t="s">
        <v>17</v>
      </c>
      <c r="C175" s="1">
        <v>2026</v>
      </c>
      <c r="D175" s="9">
        <v>741.89166027680039</v>
      </c>
    </row>
    <row r="176" spans="1:4" x14ac:dyDescent="0.35">
      <c r="A176" s="8">
        <v>175</v>
      </c>
      <c r="B176" s="1" t="s">
        <v>97</v>
      </c>
      <c r="C176" s="1">
        <v>2026</v>
      </c>
      <c r="D176" s="9">
        <v>19281.067157775859</v>
      </c>
    </row>
    <row r="177" spans="1:4" x14ac:dyDescent="0.35">
      <c r="A177" s="8">
        <v>176</v>
      </c>
      <c r="B177" s="1" t="s">
        <v>4</v>
      </c>
      <c r="C177" s="1">
        <v>2026</v>
      </c>
      <c r="D177" s="9">
        <v>3349.4644495807588</v>
      </c>
    </row>
    <row r="178" spans="1:4" x14ac:dyDescent="0.35">
      <c r="A178" s="8">
        <v>177</v>
      </c>
      <c r="B178" s="1" t="s">
        <v>21</v>
      </c>
      <c r="C178" s="1">
        <v>2026</v>
      </c>
      <c r="D178" s="9">
        <v>21365.662673875569</v>
      </c>
    </row>
    <row r="179" spans="1:4" x14ac:dyDescent="0.35">
      <c r="A179" s="8">
        <v>178</v>
      </c>
      <c r="B179" s="1" t="s">
        <v>9</v>
      </c>
      <c r="C179" s="1">
        <v>2026</v>
      </c>
      <c r="D179" s="9">
        <v>1609.2623894741989</v>
      </c>
    </row>
    <row r="180" spans="1:4" x14ac:dyDescent="0.35">
      <c r="A180" s="8">
        <v>179</v>
      </c>
      <c r="B180" s="1" t="s">
        <v>98</v>
      </c>
      <c r="C180" s="1">
        <v>2026</v>
      </c>
      <c r="D180" s="9">
        <v>639.64635649323463</v>
      </c>
    </row>
    <row r="181" spans="1:4" x14ac:dyDescent="0.35">
      <c r="A181" s="8">
        <v>180</v>
      </c>
      <c r="B181" s="1" t="s">
        <v>99</v>
      </c>
      <c r="C181" s="1">
        <v>2026</v>
      </c>
      <c r="D181" s="9">
        <v>5630.5659714179637</v>
      </c>
    </row>
    <row r="182" spans="1:4" x14ac:dyDescent="0.35">
      <c r="A182" s="8">
        <v>181</v>
      </c>
      <c r="B182" s="1" t="s">
        <v>100</v>
      </c>
      <c r="C182" s="1">
        <v>2026</v>
      </c>
      <c r="D182" s="9">
        <v>3178.502649593167</v>
      </c>
    </row>
    <row r="183" spans="1:4" x14ac:dyDescent="0.35">
      <c r="A183" s="8">
        <v>182</v>
      </c>
      <c r="B183" s="1" t="s">
        <v>101</v>
      </c>
      <c r="C183" s="1">
        <v>2026</v>
      </c>
      <c r="D183" s="9">
        <v>1315.496799241751</v>
      </c>
    </row>
    <row r="184" spans="1:4" x14ac:dyDescent="0.35">
      <c r="A184" s="8">
        <v>183</v>
      </c>
      <c r="B184" s="1" t="s">
        <v>102</v>
      </c>
      <c r="C184" s="1">
        <v>2026</v>
      </c>
      <c r="D184" s="9">
        <v>557.76786363683641</v>
      </c>
    </row>
    <row r="185" spans="1:4" x14ac:dyDescent="0.35">
      <c r="A185" s="8">
        <v>184</v>
      </c>
      <c r="B185" s="1" t="s">
        <v>9</v>
      </c>
      <c r="C185" s="1">
        <v>2026</v>
      </c>
      <c r="D185" s="9">
        <v>16054.34740018845</v>
      </c>
    </row>
    <row r="186" spans="1:4" x14ac:dyDescent="0.35">
      <c r="A186" s="8">
        <v>186</v>
      </c>
      <c r="B186" s="1" t="s">
        <v>104</v>
      </c>
      <c r="C186" s="1">
        <v>2026</v>
      </c>
      <c r="D186" s="9">
        <v>4329.8482292480767</v>
      </c>
    </row>
    <row r="187" spans="1:4" x14ac:dyDescent="0.35">
      <c r="A187" s="8">
        <v>187</v>
      </c>
      <c r="B187" s="1" t="s">
        <v>105</v>
      </c>
      <c r="C187" s="1">
        <v>2026</v>
      </c>
      <c r="D187" s="9">
        <v>5831.0929686771706</v>
      </c>
    </row>
    <row r="188" spans="1:4" x14ac:dyDescent="0.35">
      <c r="A188" s="8">
        <v>188</v>
      </c>
      <c r="B188" s="1" t="s">
        <v>106</v>
      </c>
      <c r="C188" s="1">
        <v>2026</v>
      </c>
      <c r="D188" s="9">
        <v>250.5987380743027</v>
      </c>
    </row>
    <row r="189" spans="1:4" x14ac:dyDescent="0.35">
      <c r="A189" s="8">
        <v>189</v>
      </c>
      <c r="B189" s="1" t="s">
        <v>83</v>
      </c>
      <c r="C189" s="1">
        <v>2026</v>
      </c>
      <c r="D189" s="9">
        <v>2860.1368453651671</v>
      </c>
    </row>
    <row r="190" spans="1:4" x14ac:dyDescent="0.35">
      <c r="A190" s="8">
        <v>190</v>
      </c>
      <c r="B190" s="1" t="s">
        <v>107</v>
      </c>
      <c r="C190" s="1">
        <v>2026</v>
      </c>
      <c r="D190" s="9">
        <v>1398.296507300714</v>
      </c>
    </row>
    <row r="191" spans="1:4" x14ac:dyDescent="0.35">
      <c r="A191" s="8">
        <v>191</v>
      </c>
      <c r="B191" s="1" t="s">
        <v>108</v>
      </c>
      <c r="C191" s="1">
        <v>2026</v>
      </c>
      <c r="D191" s="9">
        <v>486.1975267753005</v>
      </c>
    </row>
    <row r="192" spans="1:4" x14ac:dyDescent="0.35">
      <c r="A192" s="8">
        <v>192</v>
      </c>
      <c r="B192" s="1"/>
      <c r="C192" s="1">
        <v>2026</v>
      </c>
      <c r="D192" s="9">
        <v>16850.784333020449</v>
      </c>
    </row>
    <row r="193" spans="1:4" x14ac:dyDescent="0.35">
      <c r="A193" s="8">
        <v>193</v>
      </c>
      <c r="B193" s="1" t="s">
        <v>17</v>
      </c>
      <c r="C193" s="1">
        <v>2026</v>
      </c>
      <c r="D193" s="9">
        <v>5014.4822857391546</v>
      </c>
    </row>
    <row r="194" spans="1:4" x14ac:dyDescent="0.35">
      <c r="A194" s="8">
        <v>194</v>
      </c>
      <c r="B194" s="1" t="s">
        <v>109</v>
      </c>
      <c r="C194" s="1">
        <v>2026</v>
      </c>
      <c r="D194" s="9">
        <v>6971.9766508119646</v>
      </c>
    </row>
    <row r="195" spans="1:4" x14ac:dyDescent="0.35">
      <c r="A195" s="8">
        <v>195</v>
      </c>
      <c r="B195" s="1" t="s">
        <v>110</v>
      </c>
      <c r="C195" s="1">
        <v>2026</v>
      </c>
      <c r="D195" s="9">
        <v>5176.3475103154778</v>
      </c>
    </row>
    <row r="196" spans="1:4" x14ac:dyDescent="0.35">
      <c r="A196" s="8">
        <v>196</v>
      </c>
      <c r="B196" s="1" t="s">
        <v>18</v>
      </c>
      <c r="C196" s="1">
        <v>2026</v>
      </c>
      <c r="D196" s="9">
        <v>5209.1038375869393</v>
      </c>
    </row>
    <row r="197" spans="1:4" x14ac:dyDescent="0.35">
      <c r="A197" s="8">
        <v>197</v>
      </c>
      <c r="B197" s="1" t="s">
        <v>111</v>
      </c>
      <c r="C197" s="1">
        <v>2026</v>
      </c>
      <c r="D197" s="9">
        <v>1544.6386331543331</v>
      </c>
    </row>
    <row r="198" spans="1:4" x14ac:dyDescent="0.35">
      <c r="A198" s="8">
        <v>198</v>
      </c>
      <c r="B198" s="1"/>
      <c r="C198" s="1">
        <v>2026</v>
      </c>
      <c r="D198" s="9">
        <v>11524.26645523775</v>
      </c>
    </row>
    <row r="199" spans="1:4" x14ac:dyDescent="0.35">
      <c r="A199" s="8">
        <v>199</v>
      </c>
      <c r="B199" s="1" t="s">
        <v>17</v>
      </c>
      <c r="C199" s="1">
        <v>2026</v>
      </c>
      <c r="D199" s="9">
        <v>3461.9229219518602</v>
      </c>
    </row>
    <row r="200" spans="1:4" x14ac:dyDescent="0.35">
      <c r="A200" s="8">
        <v>200</v>
      </c>
      <c r="B200" s="1" t="s">
        <v>112</v>
      </c>
      <c r="C200" s="1">
        <v>2026</v>
      </c>
      <c r="D200" s="9">
        <v>223.3704585544765</v>
      </c>
    </row>
    <row r="201" spans="1:4" x14ac:dyDescent="0.35">
      <c r="A201" s="8">
        <v>201</v>
      </c>
      <c r="B201" s="1" t="s">
        <v>66</v>
      </c>
      <c r="C201" s="1">
        <v>2026</v>
      </c>
      <c r="D201" s="9">
        <v>1302.7881271715739</v>
      </c>
    </row>
    <row r="202" spans="1:4" x14ac:dyDescent="0.35">
      <c r="A202" s="8">
        <v>202</v>
      </c>
      <c r="B202" s="1" t="s">
        <v>113</v>
      </c>
      <c r="C202" s="1">
        <v>2026</v>
      </c>
      <c r="D202" s="9">
        <v>2754.187203912355</v>
      </c>
    </row>
    <row r="203" spans="1:4" x14ac:dyDescent="0.35">
      <c r="A203" s="8">
        <v>203</v>
      </c>
      <c r="B203" s="1" t="s">
        <v>39</v>
      </c>
      <c r="C203" s="1">
        <v>2026</v>
      </c>
      <c r="D203" s="9">
        <v>884.20877583324909</v>
      </c>
    </row>
    <row r="204" spans="1:4" x14ac:dyDescent="0.35">
      <c r="A204" s="8">
        <v>204</v>
      </c>
      <c r="B204" s="1" t="s">
        <v>114</v>
      </c>
      <c r="C204" s="1">
        <v>2026</v>
      </c>
      <c r="D204" s="9">
        <v>522.25835009664297</v>
      </c>
    </row>
    <row r="205" spans="1:4" x14ac:dyDescent="0.35">
      <c r="A205" s="8">
        <v>205</v>
      </c>
      <c r="B205" s="1" t="s">
        <v>115</v>
      </c>
      <c r="C205" s="1">
        <v>2026</v>
      </c>
      <c r="D205" s="9">
        <v>1606.22439211607</v>
      </c>
    </row>
    <row r="206" spans="1:4" x14ac:dyDescent="0.35">
      <c r="A206" s="8">
        <v>206</v>
      </c>
      <c r="B206" s="1"/>
      <c r="C206" s="1">
        <v>2026</v>
      </c>
      <c r="D206" s="9">
        <v>2116.5112092643981</v>
      </c>
    </row>
    <row r="207" spans="1:4" x14ac:dyDescent="0.35">
      <c r="A207" s="8">
        <v>207</v>
      </c>
      <c r="B207" s="1"/>
      <c r="C207" s="1">
        <v>2026</v>
      </c>
      <c r="D207" s="9">
        <v>755.05368263274431</v>
      </c>
    </row>
    <row r="208" spans="1:4" x14ac:dyDescent="0.35">
      <c r="A208" s="8">
        <v>208</v>
      </c>
      <c r="B208" s="1" t="s">
        <v>63</v>
      </c>
      <c r="C208" s="1">
        <v>2026</v>
      </c>
      <c r="D208" s="9">
        <v>40708.200460527092</v>
      </c>
    </row>
    <row r="209" spans="1:7" x14ac:dyDescent="0.35">
      <c r="A209" s="8">
        <v>209</v>
      </c>
      <c r="B209" s="1"/>
      <c r="C209" s="1">
        <v>2026</v>
      </c>
      <c r="D209" s="9">
        <v>19216.072628157679</v>
      </c>
    </row>
    <row r="210" spans="1:7" x14ac:dyDescent="0.35">
      <c r="A210" s="8">
        <v>210</v>
      </c>
      <c r="B210" s="1" t="s">
        <v>89</v>
      </c>
      <c r="C210" s="1">
        <v>2026</v>
      </c>
      <c r="D210" s="9">
        <v>360.23156277835369</v>
      </c>
    </row>
    <row r="211" spans="1:7" x14ac:dyDescent="0.35">
      <c r="A211" s="8">
        <v>211</v>
      </c>
      <c r="B211" s="1" t="s">
        <v>35</v>
      </c>
      <c r="C211" s="1">
        <v>2026</v>
      </c>
      <c r="D211" s="9">
        <v>721.6610564365983</v>
      </c>
    </row>
    <row r="212" spans="1:7" x14ac:dyDescent="0.35">
      <c r="A212" s="8">
        <v>212</v>
      </c>
      <c r="B212" s="1" t="s">
        <v>116</v>
      </c>
      <c r="C212" s="1">
        <v>2026</v>
      </c>
      <c r="D212" s="9">
        <v>4496.6662941062823</v>
      </c>
    </row>
    <row r="213" spans="1:7" x14ac:dyDescent="0.35">
      <c r="A213" s="8">
        <v>213</v>
      </c>
      <c r="B213" s="1"/>
      <c r="C213" s="1">
        <v>2026</v>
      </c>
      <c r="D213" s="9">
        <v>6350.2893105074763</v>
      </c>
    </row>
    <row r="214" spans="1:7" x14ac:dyDescent="0.35">
      <c r="A214" s="8">
        <v>214</v>
      </c>
      <c r="B214" s="1" t="s">
        <v>25</v>
      </c>
      <c r="C214" s="1">
        <v>2026</v>
      </c>
      <c r="D214" s="9">
        <v>3723.8944750165101</v>
      </c>
    </row>
    <row r="215" spans="1:7" x14ac:dyDescent="0.35">
      <c r="A215" s="8">
        <v>215</v>
      </c>
      <c r="B215" s="1"/>
      <c r="C215" s="1">
        <v>2026</v>
      </c>
      <c r="D215" s="9">
        <v>4412.1859986074269</v>
      </c>
    </row>
    <row r="216" spans="1:7" x14ac:dyDescent="0.35">
      <c r="A216" s="13">
        <v>216</v>
      </c>
      <c r="B216" s="14" t="s">
        <v>117</v>
      </c>
      <c r="C216" s="14">
        <v>2026</v>
      </c>
      <c r="D216" s="15">
        <v>7701.2386902454309</v>
      </c>
    </row>
    <row r="218" spans="1:7" x14ac:dyDescent="0.35">
      <c r="G218" s="5" t="s">
        <v>212</v>
      </c>
    </row>
    <row r="219" spans="1:7" x14ac:dyDescent="0.35">
      <c r="G219" s="5">
        <f>COUNT(Tableau2[FID])</f>
        <v>215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BD6C-F3CF-43E1-9808-439D96AB7B9F}">
  <dimension ref="A1:G56"/>
  <sheetViews>
    <sheetView topLeftCell="A31" workbookViewId="0">
      <selection activeCell="D27" sqref="D27"/>
    </sheetView>
  </sheetViews>
  <sheetFormatPr baseColWidth="10" defaultRowHeight="14.5" x14ac:dyDescent="0.35"/>
  <cols>
    <col min="2" max="2" width="41.26953125" customWidth="1"/>
    <col min="3" max="3" width="12.26953125" customWidth="1"/>
    <col min="4" max="4" width="35.7265625" customWidth="1"/>
    <col min="7" max="7" width="1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118</v>
      </c>
    </row>
    <row r="2" spans="1:7" x14ac:dyDescent="0.35">
      <c r="A2" s="1">
        <v>1</v>
      </c>
      <c r="B2" s="1" t="s">
        <v>119</v>
      </c>
      <c r="C2" s="1">
        <v>2025</v>
      </c>
      <c r="D2" s="1">
        <v>346</v>
      </c>
    </row>
    <row r="3" spans="1:7" x14ac:dyDescent="0.35">
      <c r="A3" s="1">
        <v>2</v>
      </c>
      <c r="B3" s="1" t="s">
        <v>120</v>
      </c>
      <c r="C3" s="1">
        <v>2025</v>
      </c>
      <c r="D3" s="1">
        <v>2167</v>
      </c>
    </row>
    <row r="4" spans="1:7" x14ac:dyDescent="0.35">
      <c r="A4" s="1">
        <v>3</v>
      </c>
      <c r="B4" s="1" t="s">
        <v>121</v>
      </c>
      <c r="C4" s="1">
        <v>2025</v>
      </c>
      <c r="D4" s="1">
        <v>108</v>
      </c>
    </row>
    <row r="5" spans="1:7" x14ac:dyDescent="0.35">
      <c r="A5" s="1">
        <v>4</v>
      </c>
      <c r="B5" s="1" t="s">
        <v>122</v>
      </c>
      <c r="C5" s="1">
        <v>2025</v>
      </c>
      <c r="D5" s="1">
        <v>387</v>
      </c>
    </row>
    <row r="6" spans="1:7" x14ac:dyDescent="0.35">
      <c r="A6" s="1">
        <v>5</v>
      </c>
      <c r="B6" s="1" t="s">
        <v>123</v>
      </c>
      <c r="C6" s="1">
        <v>2025</v>
      </c>
      <c r="D6" s="1">
        <v>555</v>
      </c>
    </row>
    <row r="7" spans="1:7" x14ac:dyDescent="0.35">
      <c r="A7" s="1">
        <v>6</v>
      </c>
      <c r="B7" s="1" t="s">
        <v>124</v>
      </c>
      <c r="C7" s="1">
        <v>2025</v>
      </c>
      <c r="D7" s="1">
        <v>16575</v>
      </c>
    </row>
    <row r="8" spans="1:7" x14ac:dyDescent="0.35">
      <c r="A8" s="1">
        <v>7</v>
      </c>
      <c r="B8" s="1" t="s">
        <v>125</v>
      </c>
      <c r="C8" s="1">
        <v>2025</v>
      </c>
      <c r="D8" s="1">
        <v>7972</v>
      </c>
    </row>
    <row r="9" spans="1:7" x14ac:dyDescent="0.35">
      <c r="A9" s="1">
        <v>8</v>
      </c>
      <c r="B9" s="1" t="s">
        <v>126</v>
      </c>
      <c r="C9" s="1">
        <v>2025</v>
      </c>
      <c r="D9" s="1">
        <v>667</v>
      </c>
    </row>
    <row r="10" spans="1:7" x14ac:dyDescent="0.35">
      <c r="A10" s="1">
        <v>9</v>
      </c>
      <c r="B10" s="1" t="s">
        <v>127</v>
      </c>
      <c r="C10" s="1">
        <v>2025</v>
      </c>
      <c r="D10" s="1">
        <v>907</v>
      </c>
    </row>
    <row r="11" spans="1:7" x14ac:dyDescent="0.35">
      <c r="A11" s="1">
        <v>10</v>
      </c>
      <c r="B11" s="1" t="s">
        <v>128</v>
      </c>
      <c r="C11" s="1">
        <v>2025</v>
      </c>
      <c r="D11" s="1">
        <v>89</v>
      </c>
    </row>
    <row r="12" spans="1:7" x14ac:dyDescent="0.35">
      <c r="A12" s="1">
        <v>11</v>
      </c>
      <c r="B12" s="1" t="s">
        <v>129</v>
      </c>
      <c r="C12" s="1">
        <v>2025</v>
      </c>
      <c r="D12" s="1">
        <v>707</v>
      </c>
      <c r="F12" s="18" t="s">
        <v>150</v>
      </c>
      <c r="G12" s="18">
        <f>SUM(D2:D56)</f>
        <v>91066</v>
      </c>
    </row>
    <row r="13" spans="1:7" x14ac:dyDescent="0.35">
      <c r="A13" s="1">
        <v>12</v>
      </c>
      <c r="B13" s="1" t="s">
        <v>130</v>
      </c>
      <c r="C13" s="1">
        <v>2025</v>
      </c>
      <c r="D13" s="1">
        <v>585</v>
      </c>
    </row>
    <row r="14" spans="1:7" x14ac:dyDescent="0.35">
      <c r="A14" s="1">
        <v>13</v>
      </c>
      <c r="B14" s="1" t="s">
        <v>131</v>
      </c>
      <c r="C14" s="1">
        <v>2025</v>
      </c>
      <c r="D14" s="1">
        <v>1052</v>
      </c>
    </row>
    <row r="15" spans="1:7" x14ac:dyDescent="0.35">
      <c r="A15" s="1">
        <v>14</v>
      </c>
      <c r="B15" s="1" t="s">
        <v>132</v>
      </c>
      <c r="C15" s="1">
        <v>2025</v>
      </c>
      <c r="D15" s="1">
        <v>3490</v>
      </c>
    </row>
    <row r="16" spans="1:7" x14ac:dyDescent="0.35">
      <c r="A16" s="1">
        <v>15</v>
      </c>
      <c r="B16" s="1" t="s">
        <v>133</v>
      </c>
      <c r="C16" s="1">
        <v>2025</v>
      </c>
      <c r="D16" s="1">
        <v>6833</v>
      </c>
    </row>
    <row r="17" spans="1:4" x14ac:dyDescent="0.35">
      <c r="A17" s="1">
        <v>16</v>
      </c>
      <c r="B17" s="1" t="s">
        <v>134</v>
      </c>
      <c r="C17" s="1">
        <v>2025</v>
      </c>
      <c r="D17" s="1">
        <v>3293</v>
      </c>
    </row>
    <row r="18" spans="1:4" x14ac:dyDescent="0.35">
      <c r="A18" s="1">
        <v>17</v>
      </c>
      <c r="B18" s="1" t="s">
        <v>135</v>
      </c>
      <c r="C18" s="1">
        <v>2025</v>
      </c>
      <c r="D18" s="1">
        <v>1499</v>
      </c>
    </row>
    <row r="19" spans="1:4" x14ac:dyDescent="0.35">
      <c r="A19" s="1">
        <v>18</v>
      </c>
      <c r="B19" s="1" t="s">
        <v>160</v>
      </c>
      <c r="C19" s="1"/>
      <c r="D19" s="1">
        <v>573</v>
      </c>
    </row>
    <row r="20" spans="1:4" x14ac:dyDescent="0.35">
      <c r="A20" s="1">
        <v>19</v>
      </c>
      <c r="B20" s="1" t="s">
        <v>161</v>
      </c>
      <c r="C20" s="1"/>
      <c r="D20" s="1">
        <v>856</v>
      </c>
    </row>
    <row r="21" spans="1:4" x14ac:dyDescent="0.35">
      <c r="A21" s="1">
        <v>20</v>
      </c>
      <c r="B21" s="1" t="s">
        <v>162</v>
      </c>
      <c r="C21" s="1"/>
      <c r="D21" s="1">
        <v>399</v>
      </c>
    </row>
    <row r="22" spans="1:4" x14ac:dyDescent="0.35">
      <c r="A22" s="1">
        <v>21</v>
      </c>
      <c r="B22" s="1" t="s">
        <v>163</v>
      </c>
      <c r="C22" s="1"/>
      <c r="D22" s="1">
        <v>622</v>
      </c>
    </row>
    <row r="23" spans="1:4" x14ac:dyDescent="0.35">
      <c r="A23" s="1">
        <v>22</v>
      </c>
      <c r="B23" s="1" t="s">
        <v>164</v>
      </c>
      <c r="C23" s="1"/>
      <c r="D23" s="1">
        <v>432</v>
      </c>
    </row>
    <row r="24" spans="1:4" x14ac:dyDescent="0.35">
      <c r="A24" s="1">
        <v>23</v>
      </c>
      <c r="B24" s="1" t="s">
        <v>165</v>
      </c>
      <c r="C24" s="1"/>
      <c r="D24" s="1">
        <v>2335</v>
      </c>
    </row>
    <row r="25" spans="1:4" x14ac:dyDescent="0.35">
      <c r="A25" s="1">
        <v>24</v>
      </c>
      <c r="B25" s="1" t="s">
        <v>166</v>
      </c>
      <c r="C25" s="1"/>
      <c r="D25" s="1">
        <v>5973</v>
      </c>
    </row>
    <row r="26" spans="1:4" x14ac:dyDescent="0.35">
      <c r="A26" s="1">
        <v>25</v>
      </c>
      <c r="B26" s="1" t="s">
        <v>167</v>
      </c>
      <c r="C26" s="1"/>
      <c r="D26" s="1">
        <v>969</v>
      </c>
    </row>
    <row r="27" spans="1:4" x14ac:dyDescent="0.35">
      <c r="A27" s="1">
        <v>26</v>
      </c>
      <c r="B27" s="1" t="s">
        <v>168</v>
      </c>
      <c r="C27" s="1"/>
      <c r="D27" s="1">
        <v>686</v>
      </c>
    </row>
    <row r="28" spans="1:4" x14ac:dyDescent="0.35">
      <c r="A28" s="1">
        <v>27</v>
      </c>
      <c r="B28" s="1" t="s">
        <v>169</v>
      </c>
      <c r="C28" s="1"/>
      <c r="D28" s="1">
        <v>159</v>
      </c>
    </row>
    <row r="29" spans="1:4" x14ac:dyDescent="0.35">
      <c r="A29" s="1">
        <v>28</v>
      </c>
      <c r="B29" s="1" t="s">
        <v>170</v>
      </c>
      <c r="C29" s="1"/>
      <c r="D29" s="1">
        <v>19</v>
      </c>
    </row>
    <row r="30" spans="1:4" x14ac:dyDescent="0.35">
      <c r="A30" s="1">
        <v>29</v>
      </c>
      <c r="B30" s="1" t="s">
        <v>171</v>
      </c>
      <c r="C30" s="1"/>
      <c r="D30" s="1">
        <v>378</v>
      </c>
    </row>
    <row r="31" spans="1:4" x14ac:dyDescent="0.35">
      <c r="A31" s="1">
        <v>30</v>
      </c>
      <c r="B31" s="1" t="s">
        <v>172</v>
      </c>
      <c r="C31" s="1"/>
      <c r="D31" s="1">
        <v>5381</v>
      </c>
    </row>
    <row r="32" spans="1:4" x14ac:dyDescent="0.35">
      <c r="A32" s="1">
        <v>31</v>
      </c>
      <c r="B32" s="1" t="s">
        <v>173</v>
      </c>
      <c r="C32" s="1"/>
      <c r="D32" s="1">
        <v>874</v>
      </c>
    </row>
    <row r="33" spans="1:4" x14ac:dyDescent="0.35">
      <c r="A33" s="1">
        <v>32</v>
      </c>
      <c r="B33" s="1" t="s">
        <v>174</v>
      </c>
      <c r="C33" s="1"/>
      <c r="D33" s="1">
        <v>185</v>
      </c>
    </row>
    <row r="34" spans="1:4" x14ac:dyDescent="0.35">
      <c r="A34" s="1">
        <v>33</v>
      </c>
      <c r="B34" s="1" t="s">
        <v>175</v>
      </c>
      <c r="C34" s="1"/>
      <c r="D34" s="1">
        <v>370</v>
      </c>
    </row>
    <row r="35" spans="1:4" x14ac:dyDescent="0.35">
      <c r="A35" s="1">
        <v>34</v>
      </c>
      <c r="B35" s="1" t="s">
        <v>176</v>
      </c>
      <c r="C35" s="1"/>
      <c r="D35" s="1">
        <v>50</v>
      </c>
    </row>
    <row r="36" spans="1:4" x14ac:dyDescent="0.35">
      <c r="A36" s="1">
        <v>35</v>
      </c>
      <c r="B36" s="1" t="s">
        <v>177</v>
      </c>
      <c r="C36" s="1"/>
      <c r="D36" s="1">
        <v>573</v>
      </c>
    </row>
    <row r="37" spans="1:4" x14ac:dyDescent="0.35">
      <c r="A37" s="1">
        <v>36</v>
      </c>
      <c r="B37" s="1" t="s">
        <v>178</v>
      </c>
      <c r="C37" s="1"/>
      <c r="D37" s="1">
        <v>117</v>
      </c>
    </row>
    <row r="38" spans="1:4" x14ac:dyDescent="0.35">
      <c r="A38" s="1">
        <v>37</v>
      </c>
      <c r="B38" s="1" t="s">
        <v>179</v>
      </c>
      <c r="C38" s="1"/>
      <c r="D38" s="1">
        <v>758</v>
      </c>
    </row>
    <row r="39" spans="1:4" x14ac:dyDescent="0.35">
      <c r="A39" s="1">
        <v>38</v>
      </c>
      <c r="B39" s="1" t="s">
        <v>180</v>
      </c>
      <c r="C39" s="1"/>
      <c r="D39" s="1">
        <v>528</v>
      </c>
    </row>
    <row r="40" spans="1:4" x14ac:dyDescent="0.35">
      <c r="A40" s="1">
        <v>39</v>
      </c>
      <c r="B40" s="1" t="s">
        <v>181</v>
      </c>
      <c r="C40" s="1"/>
      <c r="D40" s="1">
        <v>182</v>
      </c>
    </row>
    <row r="41" spans="1:4" x14ac:dyDescent="0.35">
      <c r="A41" s="1">
        <v>40</v>
      </c>
      <c r="B41" s="1" t="s">
        <v>182</v>
      </c>
      <c r="C41" s="1"/>
      <c r="D41" s="1">
        <v>314</v>
      </c>
    </row>
    <row r="42" spans="1:4" x14ac:dyDescent="0.35">
      <c r="A42" s="1">
        <v>41</v>
      </c>
      <c r="B42" s="1" t="s">
        <v>183</v>
      </c>
      <c r="C42" s="1"/>
      <c r="D42" s="1">
        <v>251</v>
      </c>
    </row>
    <row r="43" spans="1:4" x14ac:dyDescent="0.35">
      <c r="A43" s="1">
        <v>42</v>
      </c>
      <c r="B43" s="1" t="s">
        <v>184</v>
      </c>
      <c r="C43" s="1"/>
      <c r="D43" s="1">
        <v>1986</v>
      </c>
    </row>
    <row r="44" spans="1:4" x14ac:dyDescent="0.35">
      <c r="A44" s="1">
        <v>43</v>
      </c>
      <c r="B44" s="1" t="s">
        <v>185</v>
      </c>
      <c r="C44" s="1"/>
      <c r="D44" s="1">
        <v>74</v>
      </c>
    </row>
    <row r="45" spans="1:4" x14ac:dyDescent="0.35">
      <c r="A45" s="1">
        <v>44</v>
      </c>
      <c r="B45" s="1" t="s">
        <v>186</v>
      </c>
      <c r="C45" s="1"/>
      <c r="D45" s="1">
        <v>238</v>
      </c>
    </row>
    <row r="46" spans="1:4" x14ac:dyDescent="0.35">
      <c r="A46" s="1">
        <v>45</v>
      </c>
      <c r="B46" s="1" t="s">
        <v>187</v>
      </c>
      <c r="C46" s="1"/>
      <c r="D46" s="1">
        <v>389</v>
      </c>
    </row>
    <row r="47" spans="1:4" x14ac:dyDescent="0.35">
      <c r="A47" s="1">
        <v>46</v>
      </c>
      <c r="B47" s="1" t="s">
        <v>188</v>
      </c>
      <c r="C47" s="1"/>
      <c r="D47" s="1">
        <v>131</v>
      </c>
    </row>
    <row r="48" spans="1:4" x14ac:dyDescent="0.35">
      <c r="A48" s="1">
        <v>47</v>
      </c>
      <c r="B48" s="1" t="s">
        <v>189</v>
      </c>
      <c r="C48" s="1"/>
      <c r="D48" s="1">
        <v>178</v>
      </c>
    </row>
    <row r="49" spans="1:4" x14ac:dyDescent="0.35">
      <c r="A49" s="1">
        <v>48</v>
      </c>
      <c r="B49" s="1" t="s">
        <v>190</v>
      </c>
      <c r="C49" s="1"/>
      <c r="D49" s="1">
        <v>9124</v>
      </c>
    </row>
    <row r="50" spans="1:4" x14ac:dyDescent="0.35">
      <c r="A50" s="1">
        <v>49</v>
      </c>
      <c r="B50" s="1" t="s">
        <v>191</v>
      </c>
      <c r="C50" s="1"/>
      <c r="D50" s="1">
        <v>368</v>
      </c>
    </row>
    <row r="51" spans="1:4" x14ac:dyDescent="0.35">
      <c r="A51" s="1">
        <v>50</v>
      </c>
      <c r="B51" s="1" t="s">
        <v>192</v>
      </c>
      <c r="C51" s="1"/>
      <c r="D51" s="1">
        <v>1097</v>
      </c>
    </row>
    <row r="52" spans="1:4" x14ac:dyDescent="0.35">
      <c r="A52" s="1">
        <v>51</v>
      </c>
      <c r="B52" s="1" t="s">
        <v>193</v>
      </c>
      <c r="C52" s="1"/>
      <c r="D52" s="1">
        <v>307</v>
      </c>
    </row>
    <row r="53" spans="1:4" x14ac:dyDescent="0.35">
      <c r="A53" s="1">
        <v>52</v>
      </c>
      <c r="B53" s="1" t="s">
        <v>194</v>
      </c>
      <c r="C53" s="1"/>
      <c r="D53" s="1">
        <v>340</v>
      </c>
    </row>
    <row r="54" spans="1:4" x14ac:dyDescent="0.35">
      <c r="A54" s="1">
        <v>53</v>
      </c>
      <c r="B54" s="1" t="s">
        <v>195</v>
      </c>
      <c r="C54" s="1"/>
      <c r="D54" s="1">
        <v>288</v>
      </c>
    </row>
    <row r="55" spans="1:4" x14ac:dyDescent="0.35">
      <c r="A55" s="1">
        <v>54</v>
      </c>
      <c r="B55" s="1" t="s">
        <v>196</v>
      </c>
      <c r="C55" s="1"/>
      <c r="D55" s="1">
        <v>88</v>
      </c>
    </row>
    <row r="56" spans="1:4" x14ac:dyDescent="0.35">
      <c r="A56" s="1">
        <v>55</v>
      </c>
      <c r="B56" s="1" t="s">
        <v>197</v>
      </c>
      <c r="C56" s="1"/>
      <c r="D56" s="1">
        <v>6242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414C-EC40-4670-9203-FDBC2FDB7552}">
  <dimension ref="A1:G21"/>
  <sheetViews>
    <sheetView workbookViewId="0">
      <selection activeCell="F44" sqref="F44"/>
    </sheetView>
  </sheetViews>
  <sheetFormatPr baseColWidth="10" defaultRowHeight="14.5" x14ac:dyDescent="0.35"/>
  <cols>
    <col min="1" max="1" width="13.26953125" customWidth="1"/>
    <col min="2" max="2" width="31.81640625" customWidth="1"/>
    <col min="3" max="3" width="12.08984375" customWidth="1"/>
    <col min="4" max="4" width="21.453125" customWidth="1"/>
    <col min="7" max="7" width="62.17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118</v>
      </c>
    </row>
    <row r="2" spans="1:6" x14ac:dyDescent="0.35">
      <c r="A2" s="1">
        <v>1</v>
      </c>
      <c r="B2" s="1" t="s">
        <v>136</v>
      </c>
      <c r="C2" s="1">
        <v>2025</v>
      </c>
      <c r="D2" s="1">
        <v>24.3</v>
      </c>
    </row>
    <row r="3" spans="1:6" x14ac:dyDescent="0.35">
      <c r="A3" s="1">
        <v>2</v>
      </c>
      <c r="B3" s="1" t="s">
        <v>137</v>
      </c>
      <c r="C3" s="1">
        <v>2025</v>
      </c>
      <c r="D3" s="1">
        <v>38</v>
      </c>
      <c r="E3" s="18" t="s">
        <v>151</v>
      </c>
      <c r="F3" s="18">
        <f>SUM(D2:D5)</f>
        <v>4860.3</v>
      </c>
    </row>
    <row r="4" spans="1:6" x14ac:dyDescent="0.35">
      <c r="A4" s="1">
        <v>3</v>
      </c>
      <c r="B4" s="1" t="s">
        <v>138</v>
      </c>
      <c r="C4" s="1">
        <v>2025</v>
      </c>
      <c r="D4" s="1">
        <v>305</v>
      </c>
    </row>
    <row r="5" spans="1:6" x14ac:dyDescent="0.35">
      <c r="A5" s="1">
        <v>4</v>
      </c>
      <c r="B5" s="1" t="s">
        <v>139</v>
      </c>
      <c r="C5" s="1">
        <v>2025</v>
      </c>
      <c r="D5" s="1">
        <v>4493</v>
      </c>
    </row>
    <row r="6" spans="1:6" x14ac:dyDescent="0.35">
      <c r="A6" s="17">
        <v>5</v>
      </c>
      <c r="B6" s="17" t="s">
        <v>103</v>
      </c>
      <c r="C6" s="17">
        <v>2025</v>
      </c>
      <c r="D6" s="17">
        <v>969</v>
      </c>
    </row>
    <row r="7" spans="1:6" x14ac:dyDescent="0.35">
      <c r="A7" s="17">
        <v>6</v>
      </c>
      <c r="B7" s="17" t="s">
        <v>140</v>
      </c>
      <c r="C7" s="17">
        <v>2025</v>
      </c>
      <c r="D7" s="17">
        <v>647</v>
      </c>
    </row>
    <row r="8" spans="1:6" x14ac:dyDescent="0.35">
      <c r="A8" s="17">
        <v>7</v>
      </c>
      <c r="B8" s="17" t="s">
        <v>141</v>
      </c>
      <c r="C8" s="17">
        <v>2025</v>
      </c>
      <c r="D8" s="17">
        <v>686</v>
      </c>
    </row>
    <row r="9" spans="1:6" x14ac:dyDescent="0.35">
      <c r="A9" s="17">
        <v>8</v>
      </c>
      <c r="B9" s="17" t="s">
        <v>142</v>
      </c>
      <c r="C9" s="17">
        <v>2025</v>
      </c>
      <c r="D9" s="17">
        <v>1424</v>
      </c>
    </row>
    <row r="10" spans="1:6" x14ac:dyDescent="0.35">
      <c r="A10" s="17">
        <v>9</v>
      </c>
      <c r="B10" s="17" t="s">
        <v>143</v>
      </c>
      <c r="C10" s="17">
        <v>2025</v>
      </c>
      <c r="D10" s="17">
        <v>289</v>
      </c>
    </row>
    <row r="11" spans="1:6" x14ac:dyDescent="0.35">
      <c r="A11" s="1">
        <v>10</v>
      </c>
      <c r="B11" s="1" t="s">
        <v>82</v>
      </c>
      <c r="C11" s="1">
        <v>2025</v>
      </c>
      <c r="D11" s="1" t="s">
        <v>144</v>
      </c>
    </row>
    <row r="21" spans="7:7" x14ac:dyDescent="0.35">
      <c r="G21" s="16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B9990-4420-4018-9CB7-D79D893F7283}">
  <dimension ref="A1:G6"/>
  <sheetViews>
    <sheetView workbookViewId="0">
      <selection activeCell="G10" sqref="G10"/>
    </sheetView>
  </sheetViews>
  <sheetFormatPr baseColWidth="10" defaultRowHeight="14.5" x14ac:dyDescent="0.35"/>
  <cols>
    <col min="1" max="1" width="24.453125" customWidth="1"/>
    <col min="2" max="2" width="21.81640625" customWidth="1"/>
    <col min="3" max="3" width="20.7265625" customWidth="1"/>
    <col min="4" max="4" width="13.81640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118</v>
      </c>
    </row>
    <row r="2" spans="1:7" x14ac:dyDescent="0.35">
      <c r="A2" s="1">
        <v>1</v>
      </c>
      <c r="B2" s="1" t="s">
        <v>145</v>
      </c>
      <c r="C2" s="1">
        <v>2025</v>
      </c>
      <c r="D2" s="1">
        <v>9734</v>
      </c>
    </row>
    <row r="3" spans="1:7" x14ac:dyDescent="0.35">
      <c r="A3" s="1">
        <v>2</v>
      </c>
      <c r="B3" s="1" t="s">
        <v>146</v>
      </c>
      <c r="C3" s="1">
        <v>2025</v>
      </c>
      <c r="D3" s="1">
        <v>1881</v>
      </c>
      <c r="F3" s="18" t="s">
        <v>151</v>
      </c>
      <c r="G3" s="18">
        <f>SUM(D2:D6)</f>
        <v>14196</v>
      </c>
    </row>
    <row r="4" spans="1:7" x14ac:dyDescent="0.35">
      <c r="A4" s="1">
        <v>3</v>
      </c>
      <c r="B4" s="1" t="s">
        <v>147</v>
      </c>
      <c r="C4" s="1">
        <v>2025</v>
      </c>
      <c r="D4" s="1">
        <v>714</v>
      </c>
    </row>
    <row r="5" spans="1:7" x14ac:dyDescent="0.35">
      <c r="A5" s="1">
        <v>5</v>
      </c>
      <c r="B5" s="1" t="s">
        <v>148</v>
      </c>
      <c r="C5" s="1">
        <v>2025</v>
      </c>
      <c r="D5" s="1">
        <v>1173</v>
      </c>
    </row>
    <row r="6" spans="1:7" x14ac:dyDescent="0.35">
      <c r="A6" s="1">
        <v>6</v>
      </c>
      <c r="B6" s="1" t="s">
        <v>149</v>
      </c>
      <c r="C6" s="1">
        <v>2025</v>
      </c>
      <c r="D6" s="1">
        <v>694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78DC6-7B77-43E2-BB49-FBE1052643D1}">
  <dimension ref="A13:F15"/>
  <sheetViews>
    <sheetView workbookViewId="0">
      <selection activeCell="K39" sqref="K39"/>
    </sheetView>
  </sheetViews>
  <sheetFormatPr baseColWidth="10" defaultRowHeight="14.5" x14ac:dyDescent="0.35"/>
  <cols>
    <col min="2" max="2" width="36.81640625" customWidth="1"/>
    <col min="3" max="3" width="13.90625" customWidth="1"/>
    <col min="4" max="4" width="14" customWidth="1"/>
  </cols>
  <sheetData>
    <row r="13" spans="1:6" x14ac:dyDescent="0.35">
      <c r="A13" s="1" t="s">
        <v>0</v>
      </c>
      <c r="B13" s="1" t="s">
        <v>1</v>
      </c>
      <c r="C13" s="1" t="s">
        <v>2</v>
      </c>
      <c r="D13" s="1" t="s">
        <v>118</v>
      </c>
    </row>
    <row r="14" spans="1:6" x14ac:dyDescent="0.35">
      <c r="A14" s="1">
        <v>1</v>
      </c>
      <c r="B14" s="1" t="s">
        <v>201</v>
      </c>
      <c r="C14" s="1">
        <v>2026</v>
      </c>
      <c r="D14" s="1">
        <v>9300</v>
      </c>
    </row>
    <row r="15" spans="1:6" x14ac:dyDescent="0.35">
      <c r="A15" s="1">
        <v>2</v>
      </c>
      <c r="B15" s="1" t="s">
        <v>211</v>
      </c>
      <c r="C15" s="1">
        <v>2026</v>
      </c>
      <c r="D15" s="1">
        <v>8085</v>
      </c>
      <c r="E15" s="18" t="s">
        <v>150</v>
      </c>
      <c r="F15" s="18">
        <f>SUM(D14:D15)</f>
        <v>17385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BBEA0-8E5C-4F91-B4CD-114A1F272C18}">
  <dimension ref="A1:F5"/>
  <sheetViews>
    <sheetView workbookViewId="0">
      <selection activeCell="E5" sqref="E5:F5"/>
    </sheetView>
  </sheetViews>
  <sheetFormatPr baseColWidth="10" defaultRowHeight="14.5" x14ac:dyDescent="0.35"/>
  <cols>
    <col min="1" max="1" width="6.1796875" customWidth="1"/>
    <col min="2" max="2" width="27.90625" customWidth="1"/>
    <col min="4" max="4" width="16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118</v>
      </c>
    </row>
    <row r="2" spans="1:6" x14ac:dyDescent="0.35">
      <c r="A2" s="1">
        <v>1</v>
      </c>
      <c r="B2" s="1" t="s">
        <v>199</v>
      </c>
      <c r="C2" s="1">
        <v>2026</v>
      </c>
      <c r="D2" s="1">
        <v>289</v>
      </c>
    </row>
    <row r="3" spans="1:6" x14ac:dyDescent="0.35">
      <c r="A3" s="1">
        <v>2</v>
      </c>
      <c r="B3" s="1" t="s">
        <v>200</v>
      </c>
      <c r="C3" s="1">
        <v>2026</v>
      </c>
      <c r="D3" s="1">
        <v>641</v>
      </c>
    </row>
    <row r="5" spans="1:6" x14ac:dyDescent="0.35">
      <c r="E5" s="18" t="s">
        <v>150</v>
      </c>
      <c r="F5" s="18">
        <f>SUM(D2,D3)</f>
        <v>930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72665-288D-48D0-9147-5397BD981BC0}">
  <dimension ref="A1:B18"/>
  <sheetViews>
    <sheetView workbookViewId="0">
      <selection activeCell="D8" sqref="D8"/>
    </sheetView>
  </sheetViews>
  <sheetFormatPr baseColWidth="10" defaultRowHeight="14.5" x14ac:dyDescent="0.35"/>
  <cols>
    <col min="1" max="1" width="39.90625" customWidth="1"/>
    <col min="2" max="2" width="14.7265625" customWidth="1"/>
  </cols>
  <sheetData>
    <row r="1" spans="1:2" x14ac:dyDescent="0.35">
      <c r="A1" s="1" t="s">
        <v>210</v>
      </c>
      <c r="B1" s="1" t="s">
        <v>157</v>
      </c>
    </row>
    <row r="2" spans="1:2" x14ac:dyDescent="0.35">
      <c r="A2" s="1" t="s">
        <v>152</v>
      </c>
      <c r="B2" s="1">
        <f>('JARDINS FAMILIAUX'!G4)</f>
        <v>2227302.7899881979</v>
      </c>
    </row>
    <row r="3" spans="1:2" x14ac:dyDescent="0.35">
      <c r="A3" s="1" t="s">
        <v>153</v>
      </c>
      <c r="B3" s="1">
        <f>'JARDINS PARTAGES'!G12</f>
        <v>91066</v>
      </c>
    </row>
    <row r="4" spans="1:2" x14ac:dyDescent="0.35">
      <c r="A4" s="1" t="s">
        <v>154</v>
      </c>
      <c r="B4" s="1">
        <v>8892.2999999999993</v>
      </c>
    </row>
    <row r="5" spans="1:2" x14ac:dyDescent="0.35">
      <c r="A5" s="1" t="s">
        <v>155</v>
      </c>
      <c r="B5" s="1">
        <f>(PUC!G3)</f>
        <v>14196</v>
      </c>
    </row>
    <row r="6" spans="1:2" x14ac:dyDescent="0.35">
      <c r="A6" s="1" t="s">
        <v>202</v>
      </c>
      <c r="B6" s="1">
        <f>'CITES FERTILLES'!F15</f>
        <v>17385</v>
      </c>
    </row>
    <row r="7" spans="1:2" x14ac:dyDescent="0.35">
      <c r="A7" s="1" t="s">
        <v>203</v>
      </c>
      <c r="B7" s="1">
        <f>'MASSIFS NOURRICIERS'!F5</f>
        <v>930</v>
      </c>
    </row>
    <row r="8" spans="1:2" x14ac:dyDescent="0.35">
      <c r="A8" s="1"/>
      <c r="B8" s="1"/>
    </row>
    <row r="9" spans="1:2" x14ac:dyDescent="0.35">
      <c r="A9" s="1"/>
      <c r="B9" s="1"/>
    </row>
    <row r="10" spans="1:2" x14ac:dyDescent="0.35">
      <c r="A10" s="1" t="s">
        <v>204</v>
      </c>
      <c r="B10" s="2">
        <f>SUM(B2:B7)</f>
        <v>2359772.0899881977</v>
      </c>
    </row>
    <row r="11" spans="1:2" x14ac:dyDescent="0.35">
      <c r="A11" s="3" t="s">
        <v>156</v>
      </c>
      <c r="B11" s="20">
        <f>B10/10000</f>
        <v>235.97720899881978</v>
      </c>
    </row>
    <row r="12" spans="1:2" x14ac:dyDescent="0.35">
      <c r="A12" s="1"/>
      <c r="B12" s="1"/>
    </row>
    <row r="13" spans="1:2" x14ac:dyDescent="0.35">
      <c r="A13" s="1" t="s">
        <v>205</v>
      </c>
      <c r="B13" s="1">
        <v>337.6</v>
      </c>
    </row>
    <row r="14" spans="1:2" x14ac:dyDescent="0.35">
      <c r="A14" s="1" t="s">
        <v>206</v>
      </c>
      <c r="B14" s="4">
        <f>B13*100</f>
        <v>33760</v>
      </c>
    </row>
    <row r="15" spans="1:2" x14ac:dyDescent="0.35">
      <c r="A15" s="1" t="s">
        <v>208</v>
      </c>
      <c r="B15" s="4">
        <v>7829.4</v>
      </c>
    </row>
    <row r="16" spans="1:2" x14ac:dyDescent="0.35">
      <c r="A16" s="1"/>
      <c r="B16" s="1"/>
    </row>
    <row r="17" spans="1:2" x14ac:dyDescent="0.35">
      <c r="A17" s="5" t="s">
        <v>207</v>
      </c>
      <c r="B17" s="6">
        <f>B11/B14</f>
        <v>6.9898462381166992E-3</v>
      </c>
    </row>
    <row r="18" spans="1:2" x14ac:dyDescent="0.35">
      <c r="A18" s="18" t="s">
        <v>209</v>
      </c>
      <c r="B18" s="19">
        <f>B11/B15</f>
        <v>3.0139884154446035E-2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B3230-74E0-4BD7-A229-A60D7D28CD84}">
  <dimension ref="A1:B10"/>
  <sheetViews>
    <sheetView tabSelected="1" workbookViewId="0">
      <selection activeCell="B7" sqref="B7"/>
    </sheetView>
  </sheetViews>
  <sheetFormatPr baseColWidth="10" defaultRowHeight="14.5" x14ac:dyDescent="0.35"/>
  <cols>
    <col min="1" max="1" width="28.6328125" customWidth="1"/>
    <col min="2" max="2" width="22" customWidth="1"/>
  </cols>
  <sheetData>
    <row r="1" spans="1:2" x14ac:dyDescent="0.35">
      <c r="A1" s="1" t="s">
        <v>159</v>
      </c>
      <c r="B1" s="1" t="s">
        <v>158</v>
      </c>
    </row>
    <row r="2" spans="1:2" x14ac:dyDescent="0.35">
      <c r="A2" s="1" t="s">
        <v>152</v>
      </c>
      <c r="B2" s="1">
        <f>COUNT('JARDINS FAMILIAUX'!A:A)</f>
        <v>215</v>
      </c>
    </row>
    <row r="3" spans="1:2" x14ac:dyDescent="0.35">
      <c r="A3" s="1" t="s">
        <v>153</v>
      </c>
      <c r="B3" s="1">
        <f>COUNTA('JARDINS PARTAGES'!B2:B56)</f>
        <v>55</v>
      </c>
    </row>
    <row r="4" spans="1:2" x14ac:dyDescent="0.35">
      <c r="A4" s="1" t="s">
        <v>154</v>
      </c>
      <c r="B4" s="1">
        <f>COUNTA('JARDINS PRODUCTIFS'!B2:B5,'JARDINS PRODUCTIFS'!B11:B11)</f>
        <v>5</v>
      </c>
    </row>
    <row r="5" spans="1:2" x14ac:dyDescent="0.35">
      <c r="A5" s="1" t="s">
        <v>155</v>
      </c>
      <c r="B5" s="1">
        <f>COUNTA(PUC!B2:B6)</f>
        <v>5</v>
      </c>
    </row>
    <row r="6" spans="1:2" x14ac:dyDescent="0.35">
      <c r="A6" s="1" t="s">
        <v>202</v>
      </c>
      <c r="B6" s="1">
        <f>COUNTA('CITES FERTILLES'!B14:B15)</f>
        <v>2</v>
      </c>
    </row>
    <row r="7" spans="1:2" x14ac:dyDescent="0.35">
      <c r="A7" s="1" t="s">
        <v>203</v>
      </c>
      <c r="B7" s="1">
        <f>COUNTA('MASSIFS NOURRICIERS'!B2:B3)</f>
        <v>2</v>
      </c>
    </row>
    <row r="10" spans="1:2" x14ac:dyDescent="0.35">
      <c r="A10" s="3" t="s">
        <v>150</v>
      </c>
      <c r="B10" s="7">
        <f>SUM(B2:B7)</f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JARDINS FAMILIAUX</vt:lpstr>
      <vt:lpstr>JARDINS PARTAGES</vt:lpstr>
      <vt:lpstr>JARDINS PRODUCTIFS</vt:lpstr>
      <vt:lpstr>PUC</vt:lpstr>
      <vt:lpstr>CITES FERTILLES</vt:lpstr>
      <vt:lpstr>MASSIFS NOURRICIERS</vt:lpstr>
      <vt:lpstr>TOTAL_SUPERFICIE</vt:lpstr>
      <vt:lpstr>NOMBRE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Antoine zdoukik</dc:creator>
  <cp:lastModifiedBy>Antoine Ziegler</cp:lastModifiedBy>
  <dcterms:created xsi:type="dcterms:W3CDTF">2015-06-05T18:19:34Z</dcterms:created>
  <dcterms:modified xsi:type="dcterms:W3CDTF">2026-05-26T14:08:26Z</dcterms:modified>
</cp:coreProperties>
</file>